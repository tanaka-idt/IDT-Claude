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sheetId="1" state="visible" r:id="rId1"/>
    <sheet name="Business" sheetId="2" state="visible" r:id="rId2"/>
    <sheet name="Timelines" sheetId="3" state="visible" r:id="rId3"/>
    <sheet name="Sequence" sheetId="4" state="visible" r:id="rId4"/>
    <sheet name="Capacit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d mmm yyyy"/>
  </numFmts>
  <fonts count="10">
    <font>
      <name val="Calibri"/>
      <family val="2"/>
      <color theme="1"/>
      <sz val="11"/>
      <scheme val="minor"/>
    </font>
    <font>
      <b val="1"/>
      <color rgb="00FFFFFF"/>
    </font>
    <font>
      <b val="1"/>
    </font>
    <font>
      <color rgb="001155CC"/>
      <u val="single"/>
    </font>
    <font>
      <i val="1"/>
    </font>
    <font>
      <color rgb="00FFFFFF"/>
      <sz val="7"/>
    </font>
    <font>
      <i val="1"/>
      <sz val="9"/>
    </font>
    <font>
      <sz val="9"/>
    </font>
    <font>
      <color rgb="001155CC"/>
      <sz val="9"/>
      <u val="single"/>
    </font>
    <font>
      <color rgb="00000000"/>
      <sz val="7"/>
    </font>
  </fonts>
  <fills count="13">
    <fill>
      <patternFill/>
    </fill>
    <fill>
      <patternFill patternType="gray125"/>
    </fill>
    <fill>
      <patternFill patternType="solid">
        <fgColor rgb="000B5394"/>
      </patternFill>
    </fill>
    <fill>
      <patternFill patternType="solid">
        <fgColor rgb="00D9D9D9"/>
      </patternFill>
    </fill>
    <fill>
      <patternFill patternType="solid">
        <fgColor rgb="0093C47D"/>
      </patternFill>
    </fill>
    <fill>
      <patternFill patternType="solid">
        <fgColor rgb="00FEEC68"/>
      </patternFill>
    </fill>
    <fill>
      <patternFill patternType="solid">
        <fgColor rgb="00FFBE7B"/>
      </patternFill>
    </fill>
    <fill>
      <patternFill patternType="solid">
        <fgColor rgb="00FF8000"/>
      </patternFill>
    </fill>
    <fill>
      <patternFill patternType="solid">
        <fgColor rgb="00DA4848"/>
      </patternFill>
    </fill>
    <fill>
      <patternFill patternType="solid">
        <fgColor rgb="00B45F06"/>
      </patternFill>
    </fill>
    <fill>
      <patternFill patternType="solid">
        <fgColor rgb="00CCCCCC"/>
      </patternFill>
    </fill>
    <fill>
      <patternFill patternType="solid">
        <fgColor rgb="00F4CCCC"/>
      </patternFill>
    </fill>
    <fill>
      <patternFill patternType="solid">
        <fgColor rgb="00B7B7B7"/>
      </patternFill>
    </fill>
  </fills>
  <borders count="7">
    <border>
      <left/>
      <right/>
      <top/>
      <bottom/>
      <diagonal/>
    </border>
    <border>
      <top style="medium">
        <color rgb="00666666"/>
      </top>
    </border>
    <border/>
    <border>
      <left style="thin">
        <color rgb="00BFBFBF"/>
      </left>
      <top style="medium">
        <color rgb="00666666"/>
      </top>
    </border>
    <border>
      <left style="medium">
        <color rgb="00666666"/>
      </left>
      <top style="medium">
        <color rgb="00666666"/>
      </top>
    </border>
    <border>
      <left style="thin">
        <color rgb="00BFBFBF"/>
      </left>
    </border>
    <border>
      <left style="medium">
        <color rgb="00666666"/>
      </left>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0" borderId="0" pivotButton="0" quotePrefix="0" xfId="0"/>
    <xf numFmtId="0" fontId="3"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2" fillId="11" borderId="0" pivotButton="0" quotePrefix="0" xfId="0"/>
    <xf numFmtId="0" fontId="2" fillId="12" borderId="0" applyAlignment="1" pivotButton="0" quotePrefix="0" xfId="0">
      <alignment horizontal="center"/>
    </xf>
    <xf numFmtId="0" fontId="2" fillId="11" borderId="0" applyAlignment="1" pivotButton="0" quotePrefix="0" xfId="0">
      <alignment horizontal="center"/>
    </xf>
    <xf numFmtId="0" fontId="0" fillId="12" borderId="0" applyAlignment="1" pivotButton="0" quotePrefix="0" xfId="0">
      <alignment horizontal="left"/>
    </xf>
    <xf numFmtId="0" fontId="0" fillId="12" borderId="0" pivotButton="0" quotePrefix="0" xfId="0"/>
    <xf numFmtId="0" fontId="0" fillId="11" borderId="0" applyAlignment="1" pivotButton="0" quotePrefix="0" xfId="0">
      <alignment horizontal="left"/>
    </xf>
    <xf numFmtId="0" fontId="0" fillId="3" borderId="0" applyAlignment="1" pivotButton="0" quotePrefix="0" xfId="0">
      <alignment horizontal="center"/>
    </xf>
    <xf numFmtId="0" fontId="0" fillId="11" borderId="0" applyAlignment="1" pivotButton="0" quotePrefix="0" xfId="0">
      <alignment horizontal="center"/>
    </xf>
    <xf numFmtId="0" fontId="0" fillId="10" borderId="1" pivotButton="0" quotePrefix="0" xfId="0"/>
    <xf numFmtId="0" fontId="0" fillId="0" borderId="1" pivotButton="0" quotePrefix="0" xfId="0"/>
    <xf numFmtId="0" fontId="2" fillId="0" borderId="1" pivotButton="0" quotePrefix="0" xfId="0"/>
    <xf numFmtId="0" fontId="5" fillId="7" borderId="0" pivotButton="0" quotePrefix="0" xfId="0"/>
    <xf numFmtId="0" fontId="0" fillId="0" borderId="2" pivotButton="0" quotePrefix="0" xfId="0"/>
    <xf numFmtId="0" fontId="5" fillId="8" borderId="0" pivotButton="0" quotePrefix="0" xfId="0"/>
    <xf numFmtId="0" fontId="5" fillId="9" borderId="0" pivotButton="0" quotePrefix="0" xfId="0"/>
    <xf numFmtId="0" fontId="2" fillId="0" borderId="1" applyAlignment="1" pivotButton="0" quotePrefix="0" xfId="0">
      <alignment vertical="top" wrapText="1"/>
    </xf>
    <xf numFmtId="0" fontId="0" fillId="0" borderId="3" pivotButton="0" quotePrefix="0" xfId="0"/>
    <xf numFmtId="0" fontId="0" fillId="0" borderId="4" pivotButton="0" quotePrefix="0" xfId="0"/>
    <xf numFmtId="0" fontId="6" fillId="0" borderId="2" pivotButton="0" quotePrefix="0" xfId="0"/>
    <xf numFmtId="0" fontId="0" fillId="0" borderId="5" pivotButton="0" quotePrefix="0" xfId="0"/>
    <xf numFmtId="0" fontId="0" fillId="0" borderId="6" pivotButton="0" quotePrefix="0" xfId="0"/>
    <xf numFmtId="0" fontId="7" fillId="0" borderId="2" pivotButton="0" quotePrefix="0" xfId="0"/>
    <xf numFmtId="0" fontId="8" fillId="0" borderId="2" pivotButton="0" quotePrefix="0" xfId="0"/>
    <xf numFmtId="0" fontId="5" fillId="7" borderId="5" pivotButton="0" quotePrefix="0" xfId="0"/>
    <xf numFmtId="0" fontId="5" fillId="9" borderId="5" pivotButton="0" quotePrefix="0" xfId="0"/>
    <xf numFmtId="0" fontId="9" fillId="4" borderId="3" pivotButton="0" quotePrefix="0" xfId="0"/>
    <xf numFmtId="0" fontId="9" fillId="6" borderId="0" pivotButton="0" quotePrefix="0" xfId="0"/>
    <xf numFmtId="0" fontId="0" fillId="7" borderId="5" pivotButton="0" quotePrefix="0" xfId="0"/>
    <xf numFmtId="0" fontId="9" fillId="5" borderId="5" pivotButton="0" quotePrefix="0" xfId="0"/>
    <xf numFmtId="0" fontId="9" fillId="6" borderId="5" pivotButton="0" quotePrefix="0" xfId="0"/>
    <xf numFmtId="0" fontId="5" fillId="8" borderId="5" pivotButton="0" quotePrefix="0" xfId="0"/>
    <xf numFmtId="0" fontId="9" fillId="4" borderId="0" pivotButton="0" quotePrefix="0" xfId="0"/>
    <xf numFmtId="0" fontId="0" fillId="4" borderId="3" pivotButton="0" quotePrefix="0" xfId="0"/>
    <xf numFmtId="0" fontId="9" fillId="5" borderId="0" pivotButton="0" quotePrefix="0" xfId="0"/>
    <xf numFmtId="0" fontId="0" fillId="5" borderId="5" pivotButton="0" quotePrefix="0" xfId="0"/>
    <xf numFmtId="0" fontId="0" fillId="8" borderId="5" pivotButton="0" quotePrefix="0" xfId="0"/>
    <xf numFmtId="0" fontId="0" fillId="9" borderId="5" pivotButton="0" quotePrefix="0" xfId="0"/>
    <xf numFmtId="0" fontId="0" fillId="6" borderId="5" pivotButton="0" quotePrefix="0" xfId="0"/>
    <xf numFmtId="0" fontId="0" fillId="11" borderId="1" pivotButton="0" quotePrefix="0" xfId="0"/>
    <xf numFmtId="0" fontId="0" fillId="9" borderId="6" pivotButton="0" quotePrefix="0" xfId="0"/>
    <xf numFmtId="0" fontId="0" fillId="8" borderId="6" pivotButton="0" quotePrefix="0" xfId="0"/>
    <xf numFmtId="0" fontId="0" fillId="7" borderId="6" pivotButton="0" quotePrefix="0" xfId="0"/>
    <xf numFmtId="165" fontId="0" fillId="0" borderId="0" pivotButton="0" quotePrefix="0" xfId="0"/>
    <xf numFmtId="164" fontId="0" fillId="0" borderId="0" pivotButton="0" quotePrefix="0" xfId="0"/>
    <xf numFmtId="165" fontId="0" fillId="11"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78" customWidth="1" min="3" max="3"/>
    <col width="14" customWidth="1" min="4" max="4"/>
    <col width="9" customWidth="1" min="5" max="5"/>
    <col width="14" customWidth="1" min="6" max="6"/>
    <col width="9" customWidth="1" min="7" max="7"/>
    <col width="14" customWidth="1" min="8" max="8"/>
    <col width="9" customWidth="1" min="9" max="9"/>
    <col width="9" customWidth="1" min="10" max="10"/>
    <col width="9" customWidth="1" min="11" max="11"/>
    <col width="8" customWidth="1" min="12" max="12"/>
    <col width="34" customWidth="1" min="13" max="13"/>
    <col width="30" customWidth="1" min="14" max="14"/>
    <col width="12" customWidth="1" min="15" max="15"/>
  </cols>
  <sheetData>
    <row r="1" ht="34" customHeight="1">
      <c r="A1" s="1" t="inlineStr">
        <is>
          <t>Order</t>
        </is>
      </c>
      <c r="B1" s="1" t="inlineStr">
        <is>
          <t>Initiatives</t>
        </is>
      </c>
      <c r="C1" s="1" t="inlineStr">
        <is>
          <t>Description</t>
        </is>
      </c>
      <c r="D1" s="1" t="inlineStr">
        <is>
          <t>BE Estimation</t>
        </is>
      </c>
      <c r="E1" s="1" t="inlineStr">
        <is>
          <t>FTE sprints</t>
        </is>
      </c>
      <c r="F1" s="1" t="inlineStr">
        <is>
          <t>APP Estimation</t>
        </is>
      </c>
      <c r="G1" s="1" t="inlineStr">
        <is>
          <t>FTE sprints</t>
        </is>
      </c>
      <c r="H1" s="1" t="inlineStr">
        <is>
          <t>BE + APP</t>
        </is>
      </c>
      <c r="I1" s="1" t="inlineStr">
        <is>
          <t>FTE sprints</t>
        </is>
      </c>
      <c r="J1" s="1" t="inlineStr">
        <is>
          <t>Design</t>
        </is>
      </c>
      <c r="K1" s="1" t="inlineStr">
        <is>
          <t>Priority</t>
        </is>
      </c>
      <c r="L1" s="1" t="inlineStr">
        <is>
          <t>Quarter</t>
        </is>
      </c>
      <c r="M1" s="1" t="inlineStr">
        <is>
          <t>Cross Dependency</t>
        </is>
      </c>
      <c r="N1" s="1" t="inlineStr">
        <is>
          <t>Comments</t>
        </is>
      </c>
      <c r="O1" s="1" t="inlineStr">
        <is>
          <t>Asana</t>
        </is>
      </c>
    </row>
    <row r="2" ht="80" customHeight="1">
      <c r="A2" s="2" t="inlineStr">
        <is>
          <t>1) Board Goals</t>
        </is>
      </c>
      <c r="B2" s="3" t="n"/>
      <c r="C2" s="3" t="n"/>
      <c r="D2" s="4" t="inlineStr">
        <is>
          <t>&lt;&lt;&lt; 1 FTE &gt;&gt;&gt;
S: 1 sprint
M: 2 sprints
L: 4 sprints
XL: 9 sprints
XXL: 15 sprints</t>
        </is>
      </c>
      <c r="E2" s="3" t="n"/>
      <c r="F2" s="4" t="inlineStr">
        <is>
          <t>&lt;&lt;&lt; 1 FTE &gt;&gt;&gt;
S: 1 sprint
M: 2 sprints
L: 4 sprints
XL: 9 sprints
XXL: 15 sprints</t>
        </is>
      </c>
      <c r="G2" s="3" t="n"/>
      <c r="H2" s="4" t="inlineStr">
        <is>
          <t>Total estimation
(BE + APP)</t>
        </is>
      </c>
      <c r="I2" s="3" t="n"/>
      <c r="J2" s="3" t="n"/>
      <c r="K2" s="3" t="n"/>
      <c r="L2" s="3" t="n"/>
      <c r="M2" s="3" t="n"/>
      <c r="N2" s="3" t="n"/>
      <c r="O2" s="3" t="n"/>
    </row>
    <row r="3" ht="150" customHeight="1">
      <c r="A3" s="5" t="inlineStr">
        <is>
          <t>Q1 · #3</t>
        </is>
      </c>
      <c r="B3" s="6" t="inlineStr">
        <is>
          <t>Introduce postpaid top-ups (direct billers)</t>
        </is>
      </c>
      <c r="C3" s="5" t="inlineStr">
        <is>
          <t>Let a sender pay a relative's postpaid mobile bill through the IMTU flow, starting with Tigo.
IMTU today only recharges prepaid numbers. Postpaid customers in Latin America are a growing share of the base, carry higher bills, and pay monthly, which makes them a natural fit for subscriptions. The FY26 Tigo postpaid work sized the connector side as Large; FY27 completes it and exposes it in the app. The flow changes: the number lookup must recognise a postpaid line, the amount is the open bill (or an open range) instead of a fixed denomination, and confirmation may not be instant.</t>
        </is>
      </c>
      <c r="D3" s="5" t="inlineStr">
        <is>
          <t>L</t>
        </is>
      </c>
      <c r="E3" s="5" t="n">
        <v>4</v>
      </c>
      <c r="F3" s="5" t="inlineStr">
        <is>
          <t>S</t>
        </is>
      </c>
      <c r="G3" s="5" t="n">
        <v>1</v>
      </c>
      <c r="H3" s="5" t="inlineStr">
        <is>
          <t>L</t>
        </is>
      </c>
      <c r="I3" s="5">
        <f>E3+G3</f>
        <v/>
      </c>
      <c r="J3" s="5" t="inlineStr">
        <is>
          <t>S</t>
        </is>
      </c>
      <c r="K3" s="5" t="inlineStr">
        <is>
          <t>High</t>
        </is>
      </c>
      <c r="L3" s="5" t="inlineStr">
        <is>
          <t>Q1</t>
        </is>
      </c>
      <c r="M3" s="5" t="inlineStr">
        <is>
          <t>K2 connectors team (biller integration), Tigo and other carriers for postpaid APIs, Finance for non-instant settlement.</t>
        </is>
      </c>
      <c r="N3" s="5" t="inlineStr">
        <is>
          <t>PM first-pass estimate; to be validated by engineering.</t>
        </is>
      </c>
      <c r="O3" s="7">
        <f>HYPERLINK("https://app.asana.com/1/8556634603607/project/1215564565348002/task/1218156429240249","Asana task")</f>
        <v/>
      </c>
    </row>
    <row r="4" ht="150" customHeight="1">
      <c r="A4" s="5" t="inlineStr">
        <is>
          <t>Q1 · #5</t>
        </is>
      </c>
      <c r="B4" s="6" t="inlineStr">
        <is>
          <t>Reduce subscription cancellations</t>
        </is>
      </c>
      <c r="C4" s="5" t="inlineStr">
        <is>
          <t>Cut voluntary and accidental cancellations across the in, during and out moments of a subscription.
Subscriptions are the highest-quality IMTU revenue and the default-on toggle grew them fast, but the September exec review showed the cancel rate is the open problem: the home subscriptions widget is used mostly as a cancel surface and a share of cancels are buyer's remorse within days of an unintended opt-in. The Asana subtasks frame the work as in, during and out. In: a short remorse window with a one-tap undo. During: pause instead of cancel, and a savings message that shows what the subscription has earned. Out: an exit survey that captures the reason and offers a targeted save. Underneath, the cancel funnel needs clean events so each change can be measured.</t>
        </is>
      </c>
      <c r="D4" s="5" t="inlineStr">
        <is>
          <t>M</t>
        </is>
      </c>
      <c r="E4" s="5" t="n">
        <v>2</v>
      </c>
      <c r="F4" s="5" t="inlineStr">
        <is>
          <t>L</t>
        </is>
      </c>
      <c r="G4" s="5" t="n">
        <v>4</v>
      </c>
      <c r="H4" s="5" t="inlineStr">
        <is>
          <t>L</t>
        </is>
      </c>
      <c r="I4" s="5">
        <f>E4+G4</f>
        <v/>
      </c>
      <c r="J4" s="5" t="inlineStr">
        <is>
          <t>M</t>
        </is>
      </c>
      <c r="K4" s="5" t="inlineStr">
        <is>
          <t>High</t>
        </is>
      </c>
      <c r="L4" s="5" t="inlineStr">
        <is>
          <t>Q1</t>
        </is>
      </c>
      <c r="M4" s="5" t="inlineStr">
        <is>
          <t>Subly (subscription engine), CRM for the Braze savings attribute, Amplitude taxonomy fixes (DCS-5331 style) for the cancel funnel.</t>
        </is>
      </c>
      <c r="N4" s="5" t="inlineStr">
        <is>
          <t>PM first-pass estimate; to be validated by engineering.</t>
        </is>
      </c>
      <c r="O4" s="7">
        <f>HYPERLINK("https://app.asana.com/1/8556634603607/project/1215564565348002/task/1218156225083577","Asana task")</f>
        <v/>
      </c>
    </row>
    <row r="5" ht="150" customHeight="1">
      <c r="A5" s="5" t="inlineStr">
        <is>
          <t>Q2 · #7</t>
        </is>
      </c>
      <c r="B5" s="6" t="inlineStr">
        <is>
          <t>Add mobile payments (Apple Pay and Google Pay)</t>
        </is>
      </c>
      <c r="C5" s="5" t="inlineStr">
        <is>
          <t>Offer Apple Pay and Google Pay as payment methods for IMTU, eGift and eSIM in the BR calling app.
Card entry is the biggest friction in first purchase, and mobile wallets carry a fraud rate near zero (Apple Pay dropped to 0.01% in the fraud team's data). The DCS epic exists but has a single unstarted ticket, and the calling-app wallet spec deferred DCS products. This initiative adds both wallets as payment methods across the three DCS products through IDT Pay: the app collects the wallet token, the backend passes it to the processor, and the payment method is stored for subscriptions where the wallet allows it.</t>
        </is>
      </c>
      <c r="D5" s="5" t="inlineStr">
        <is>
          <t>L</t>
        </is>
      </c>
      <c r="E5" s="5" t="n">
        <v>4</v>
      </c>
      <c r="F5" s="5" t="inlineStr">
        <is>
          <t>L</t>
        </is>
      </c>
      <c r="G5" s="5" t="n">
        <v>4</v>
      </c>
      <c r="H5" s="5" t="inlineStr">
        <is>
          <t>L</t>
        </is>
      </c>
      <c r="I5" s="5">
        <f>E5+G5</f>
        <v/>
      </c>
      <c r="J5" s="5" t="inlineStr">
        <is>
          <t>S</t>
        </is>
      </c>
      <c r="K5" s="5" t="inlineStr">
        <is>
          <t>High</t>
        </is>
      </c>
      <c r="L5" s="5" t="inlineStr">
        <is>
          <t>Q2</t>
        </is>
      </c>
      <c r="M5" s="5" t="inlineStr">
        <is>
          <t>IDT Pay (tokenisation and processor support), Fraud team (Apple Pay fraud at 0.01%), Apple and Google merchant onboarding.</t>
        </is>
      </c>
      <c r="N5" s="5" t="inlineStr">
        <is>
          <t>PM first-pass estimate; to be validated by engineering.</t>
        </is>
      </c>
      <c r="O5" s="7">
        <f>HYPERLINK("https://app.asana.com/1/8556634603607/project/1215564565348002/task/1218156429240276","Asana task")</f>
        <v/>
      </c>
    </row>
    <row r="6" ht="150" customHeight="1">
      <c r="A6" s="5" t="inlineStr">
        <is>
          <t>Q2 · #8</t>
        </is>
      </c>
      <c r="B6" s="6" t="inlineStr">
        <is>
          <t>Deploy AI-powered dynamic pricing (offer price and variable fees)</t>
        </is>
      </c>
      <c r="C6" s="5" t="inlineStr">
        <is>
          <t>Let the price and the fee of an IMTU offer be set per user and per moment by a pricing model, in both the BR and Boss Money apps.
Pricing today is one price and one fee per offer for everyone. The pricing team is building a model that sets the offer price and a variable fee from corridor, carrier, user history and time, and the FY26 spike estimated the DCS side as Small to Medium: the apps already render whatever price the backend returns. DCS's job is the integration and the guardrails: call the pricing service when offers are listed, lock the quoted price for the session, show fee and total transparently at confirmation, and make sure promos and subscriptions renew at the rules the customer agreed to.</t>
        </is>
      </c>
      <c r="D6" s="5" t="inlineStr">
        <is>
          <t>M</t>
        </is>
      </c>
      <c r="E6" s="5" t="n">
        <v>2</v>
      </c>
      <c r="F6" s="5" t="inlineStr">
        <is>
          <t>S</t>
        </is>
      </c>
      <c r="G6" s="5" t="n">
        <v>1</v>
      </c>
      <c r="H6" s="5" t="inlineStr">
        <is>
          <t>M</t>
        </is>
      </c>
      <c r="I6" s="5">
        <f>E6+G6</f>
        <v/>
      </c>
      <c r="J6" s="5" t="inlineStr">
        <is>
          <t>S</t>
        </is>
      </c>
      <c r="K6" s="5" t="inlineStr">
        <is>
          <t>High</t>
        </is>
      </c>
      <c r="L6" s="5" t="inlineStr">
        <is>
          <t>Q2</t>
        </is>
      </c>
      <c r="M6" s="5" t="inlineStr">
        <is>
          <t>Pricing team and OMTU (pricing model and service), K2 (price and fee fields), Legal for price display rules.</t>
        </is>
      </c>
      <c r="N6" s="5" t="inlineStr">
        <is>
          <t>PM first-pass estimate; to be validated by engineering.</t>
        </is>
      </c>
      <c r="O6" s="7">
        <f>HYPERLINK("https://app.asana.com/1/8556634603607/project/1215564565348002/task/1218156225083580","Asana task")</f>
        <v/>
      </c>
    </row>
    <row r="7" ht="150" customHeight="1">
      <c r="A7" s="5" t="inlineStr">
        <is>
          <t>Q2 · #12</t>
        </is>
      </c>
      <c r="B7" s="6" t="inlineStr">
        <is>
          <t>Support sponsor calling plans and cross-sell them in the IMTU flow</t>
        </is>
      </c>
      <c r="C7" s="5" t="inlineStr">
        <is>
          <t>Let a US sender buy a calling plan for the recipient abroad, offered at the moment they top up that recipient.
A sponsor calling plan is paid by the US customer and used by the person abroad to call back. The IMTU flow already holds the recipient and the moment of generosity, so the cross-sell is natural: after a top-up, offer a sponsored plan for the same number. DCS provides the catalogue call, the offer placement in the IMTU success screen and recipient page, and the purchase hand-off; the calling product owns provisioning.</t>
        </is>
      </c>
      <c r="D7" s="5" t="inlineStr">
        <is>
          <t>M</t>
        </is>
      </c>
      <c r="E7" s="5" t="n">
        <v>2</v>
      </c>
      <c r="F7" s="5" t="inlineStr">
        <is>
          <t>M</t>
        </is>
      </c>
      <c r="G7" s="5" t="n">
        <v>2</v>
      </c>
      <c r="H7" s="5" t="inlineStr">
        <is>
          <t>M</t>
        </is>
      </c>
      <c r="I7" s="5">
        <f>E7+G7</f>
        <v/>
      </c>
      <c r="J7" s="5" t="inlineStr">
        <is>
          <t>S</t>
        </is>
      </c>
      <c r="K7" s="5" t="inlineStr">
        <is>
          <t>High</t>
        </is>
      </c>
      <c r="L7" s="5" t="inlineStr">
        <is>
          <t>Q2</t>
        </is>
      </c>
      <c r="M7" s="5" t="inlineStr">
        <is>
          <t>Calling plans product team (sponsor plan catalogue and provisioning), Engager for offer placement.</t>
        </is>
      </c>
      <c r="N7" s="5" t="inlineStr">
        <is>
          <t>PM first-pass estimate; to be validated by engineering.</t>
        </is>
      </c>
      <c r="O7" s="7">
        <f>HYPERLINK("https://app.asana.com/1/8556634603607/project/1215564565348002/task/1218156429240267","Asana task")</f>
        <v/>
      </c>
    </row>
    <row r="8" ht="150" customHeight="1">
      <c r="A8" s="5" t="inlineStr">
        <is>
          <t>Q3 · #13</t>
        </is>
      </c>
      <c r="B8" s="6" t="inlineStr">
        <is>
          <t>Introduce bundling capabilities for DTC</t>
        </is>
      </c>
      <c r="C8" s="5" t="inlineStr">
        <is>
          <t>A bundling service that lets a customer buy and receive several products in one transaction, with bundle pricing.
Every cross-sell initiative so far ends in two transactions: the module offers, the customer pays twice. Bundling is the platform piece that removes that: one cart, one charge, multiple fulfilments (top-up plus eGift, top-up plus eSIM, top-up plus sponsor plan), with the option of a bundle price or discount. It is the largest build of the year, mostly backend: bundle definition, price composition, one payment, orchestration of fulfilments with partial-failure handling, and the refund and reporting rules that follow. The app side is a cart and a combined review screen.</t>
        </is>
      </c>
      <c r="D8" s="5" t="inlineStr">
        <is>
          <t>XL</t>
        </is>
      </c>
      <c r="E8" s="5" t="n">
        <v>9</v>
      </c>
      <c r="F8" s="5" t="inlineStr">
        <is>
          <t>L</t>
        </is>
      </c>
      <c r="G8" s="5" t="n">
        <v>4</v>
      </c>
      <c r="H8" s="5" t="inlineStr">
        <is>
          <t>XL</t>
        </is>
      </c>
      <c r="I8" s="5">
        <f>E8+G8</f>
        <v/>
      </c>
      <c r="J8" s="5" t="inlineStr">
        <is>
          <t>L</t>
        </is>
      </c>
      <c r="K8" s="5" t="inlineStr">
        <is>
          <t>High</t>
        </is>
      </c>
      <c r="L8" s="5" t="inlineStr">
        <is>
          <t>Q3</t>
        </is>
      </c>
      <c r="M8" s="5" t="inlineStr">
        <is>
          <t>K2 catalogue and order services, IDT Pay (single charge, partial refunds), Finance for revenue split, product teams for bundle definitions.</t>
        </is>
      </c>
      <c r="N8" s="5" t="inlineStr">
        <is>
          <t>PM first-pass estimate; to be validated by engineering.</t>
        </is>
      </c>
      <c r="O8" s="7">
        <f>HYPERLINK("https://app.asana.com/1/8556634603607/project/1215564565348002/task/1218156429240253","Asana task")</f>
        <v/>
      </c>
    </row>
    <row r="9" ht="150" customHeight="1">
      <c r="A9" s="5" t="inlineStr">
        <is>
          <t>Q3 · #14</t>
        </is>
      </c>
      <c r="B9" s="6" t="inlineStr">
        <is>
          <t>Expand the BR app in ROW markets (Pinless, IMTU and eSIM)</t>
        </is>
      </c>
      <c r="C9" s="5" t="inlineStr">
        <is>
          <t>Take the BR calling app international with IMTU and eSIM enabled per market, not just US-origin sales.
The BR app sells IMTU and eSIM to US customers. The FY27 board goal is to launch and operate the app in rest-of-world markets (Europe and Canada first) with Pinless, IMTU and eSIM. For DCS this means market-aware catalogues, currencies and taxes, local payment methods through IDT Pay, sender-country rules for fraud and promos, localisation, and store listings. The FY26 Portuguese translation and the market flags in the offer catalogue are the starting point.</t>
        </is>
      </c>
      <c r="D9" s="5" t="inlineStr">
        <is>
          <t>L</t>
        </is>
      </c>
      <c r="E9" s="5" t="n">
        <v>4</v>
      </c>
      <c r="F9" s="5" t="inlineStr">
        <is>
          <t>L</t>
        </is>
      </c>
      <c r="G9" s="5" t="n">
        <v>4</v>
      </c>
      <c r="H9" s="5" t="inlineStr">
        <is>
          <t>L</t>
        </is>
      </c>
      <c r="I9" s="5">
        <f>E9+G9</f>
        <v/>
      </c>
      <c r="J9" s="5" t="inlineStr">
        <is>
          <t>M</t>
        </is>
      </c>
      <c r="K9" s="5" t="inlineStr">
        <is>
          <t>High</t>
        </is>
      </c>
      <c r="L9" s="5" t="inlineStr">
        <is>
          <t>Q3</t>
        </is>
      </c>
      <c r="M9" s="5" t="inlineStr">
        <is>
          <t>Country launch programme (legal, tax, payments per market), IDT Pay local payment methods, Calling (Pinless) team, K2 offer catalogue per market.</t>
        </is>
      </c>
      <c r="N9" s="5" t="inlineStr">
        <is>
          <t>PM first-pass estimate; to be validated by engineering.</t>
        </is>
      </c>
      <c r="O9" s="7">
        <f>HYPERLINK("https://app.asana.com/1/8556634603607/project/1215564565348002/task/1218156429240264","Asana task")</f>
        <v/>
      </c>
    </row>
    <row r="10" ht="150" customHeight="1">
      <c r="A10" s="5" t="inlineStr">
        <is>
          <t>Q3 · #15</t>
        </is>
      </c>
      <c r="B10" s="6" t="inlineStr">
        <is>
          <t>Support the RAF program with a fully trackable journey</t>
        </is>
      </c>
      <c r="C10" s="5" t="inlineStr">
        <is>
          <t>Instrument and complete the Refer-a-Friend journey from invite to first transaction to reward payout so every step is measurable.
The new RAF platform launched in FY26 with a $5 IMTU reward, but attribution is still partial: invites, installs, first purchase and payout live in different systems and the RAF event documentation was a recurring chore. This initiative closes the loop in the DCS products: a referral code or link carried through install and first IMTU, eGift or eSIM purchase, reward issuance visible to both parties, and a single funnel in Amplitude and the data warehouse. The IMTU Request Top-Up and Gifting ideas both need this loop to work.</t>
        </is>
      </c>
      <c r="D10" s="5" t="inlineStr">
        <is>
          <t>M</t>
        </is>
      </c>
      <c r="E10" s="5" t="n">
        <v>2</v>
      </c>
      <c r="F10" s="5" t="inlineStr">
        <is>
          <t>M</t>
        </is>
      </c>
      <c r="G10" s="5" t="n">
        <v>2</v>
      </c>
      <c r="H10" s="5" t="inlineStr">
        <is>
          <t>M</t>
        </is>
      </c>
      <c r="I10" s="5">
        <f>E10+G10</f>
        <v/>
      </c>
      <c r="J10" s="5" t="inlineStr">
        <is>
          <t>S</t>
        </is>
      </c>
      <c r="K10" s="5" t="inlineStr">
        <is>
          <t>Medium</t>
        </is>
      </c>
      <c r="L10" s="5" t="inlineStr">
        <is>
          <t>Q3</t>
        </is>
      </c>
      <c r="M10" s="5" t="inlineStr">
        <is>
          <t>DTC Core (RAF platform, shipped FY26), CRM for reward messaging, Data team for attribution reporting.</t>
        </is>
      </c>
      <c r="N10" s="5" t="inlineStr">
        <is>
          <t>PM first-pass estimate; to be validated by engineering.</t>
        </is>
      </c>
      <c r="O10" s="7">
        <f>HYPERLINK("https://app.asana.com/1/8556634603607/project/1215564565348002/task/1218156429240273","Asana task")</f>
        <v/>
      </c>
    </row>
    <row r="11" ht="150" customHeight="1">
      <c r="A11" s="5" t="inlineStr">
        <is>
          <t>Q4 · #18</t>
        </is>
      </c>
      <c r="B11" s="6" t="inlineStr">
        <is>
          <t>Personalised experiences via Engager (ML-driven)</t>
        </is>
      </c>
      <c r="C11" s="5" t="inlineStr">
        <is>
          <t>Expand Engager from cards on one rail to personalised home layouts, offers and lifecycle campaigns driven by ML models.
With Engager cards live on the MTU home (G3) and the module ranking hook in place (G1), FY27 Q4 turns them into a personalisation layer: the home order of sections, the featured offer, the module's single offer and the Braze lifecycle messages are all chosen per user by models trained on transaction history. DCS provides the placements, the feature events the models need, and the experimentation hooks; Data Science owns the models.</t>
        </is>
      </c>
      <c r="D11" s="5" t="inlineStr">
        <is>
          <t>M</t>
        </is>
      </c>
      <c r="E11" s="5" t="n">
        <v>2</v>
      </c>
      <c r="F11" s="5" t="inlineStr">
        <is>
          <t>M</t>
        </is>
      </c>
      <c r="G11" s="5" t="n">
        <v>2</v>
      </c>
      <c r="H11" s="5" t="inlineStr">
        <is>
          <t>M</t>
        </is>
      </c>
      <c r="I11" s="5">
        <f>E11+G11</f>
        <v/>
      </c>
      <c r="J11" s="5" t="inlineStr">
        <is>
          <t>M</t>
        </is>
      </c>
      <c r="K11" s="5" t="inlineStr">
        <is>
          <t>Medium</t>
        </is>
      </c>
      <c r="L11" s="5" t="inlineStr">
        <is>
          <t>Q4</t>
        </is>
      </c>
      <c r="M11" s="5" t="inlineStr">
        <is>
          <t>Engager and Data Science teams (ML models and next-best-offer), CRM (Braze), G3 Engager cards as the delivery surface.</t>
        </is>
      </c>
      <c r="N11" s="5" t="inlineStr">
        <is>
          <t>PM first-pass estimate; to be validated by engineering.</t>
        </is>
      </c>
      <c r="O11" s="7">
        <f>HYPERLINK("https://app.asana.com/1/8556634603607/project/1215564565348002/task/1218156429240270","Asana task")</f>
        <v/>
      </c>
    </row>
    <row r="12" ht="150" customHeight="1">
      <c r="A12" s="5" t="inlineStr">
        <is>
          <t>Q4 · #19</t>
        </is>
      </c>
      <c r="B12" s="6" t="inlineStr">
        <is>
          <t>Promo balances support for the BR Wallet</t>
        </is>
      </c>
      <c r="C12" s="5" t="inlineStr">
        <is>
          <t>Make promotional balances earned through Boss products spendable from the Wallet in both apps, across all products including Pinless.
Promotions today pay out as product-specific credits: an IMTU discount, an eGift bonus, a RAF airtime reward. The Wallet integration shipped in FY26 made the stored balance a payment method for DCS products. This initiative adds a promo balance type to the Wallet so any campaign can pay a reward once and the customer spends it on any product in either app. Pinless is excluded as a source of promos but included as a place to spend them. It turns scattered incentives into one loyalty currency, which the gamification work then draws on.</t>
        </is>
      </c>
      <c r="D12" s="5" t="inlineStr">
        <is>
          <t>L</t>
        </is>
      </c>
      <c r="E12" s="5" t="n">
        <v>4</v>
      </c>
      <c r="F12" s="5" t="inlineStr">
        <is>
          <t>M</t>
        </is>
      </c>
      <c r="G12" s="5" t="n">
        <v>2</v>
      </c>
      <c r="H12" s="5" t="inlineStr">
        <is>
          <t>L</t>
        </is>
      </c>
      <c r="I12" s="5">
        <f>E12+G12</f>
        <v/>
      </c>
      <c r="J12" s="5" t="inlineStr">
        <is>
          <t>S</t>
        </is>
      </c>
      <c r="K12" s="5" t="inlineStr">
        <is>
          <t>Medium</t>
        </is>
      </c>
      <c r="L12" s="5" t="inlineStr">
        <is>
          <t>Q4</t>
        </is>
      </c>
      <c r="M12" s="5" t="inlineStr">
        <is>
          <t>BR Wallet team (balance types and ledger), BLS promo engine, Boss Money app team, Finance for promo liability.</t>
        </is>
      </c>
      <c r="N12" s="5" t="inlineStr">
        <is>
          <t>PM first-pass estimate; to be validated by engineering.</t>
        </is>
      </c>
      <c r="O12" s="7">
        <f>HYPERLINK("https://app.asana.com/1/8556634603607/project/1215564565348002/task/1218156429240261","Asana task")</f>
        <v/>
      </c>
    </row>
    <row r="13" ht="150" customHeight="1">
      <c r="A13" s="5" t="inlineStr">
        <is>
          <t>Q4 · #20</t>
        </is>
      </c>
      <c r="B13" s="6" t="inlineStr">
        <is>
          <t>Support the IVA migration for MTU</t>
        </is>
      </c>
      <c r="C13" s="5" t="inlineStr">
        <is>
          <t>Move the MTU credit card purchase and self-service flows from the legacy IVR to the AI virtual agent without losing context.
The legacy IVR still sells top-ups by phone and handles balance and order questions. The company-wide IVA programme replaces the IVR with a conversational agent, and MTU is one of the flows to migrate. DCS provides the APIs the agent calls: recipient lookup, offer list, promo eligibility, payment with a stored card, order status, and the ability to carry context (caller identity, recipient, partially completed order) between the agent and the app or an agent hand-off. The DTC Universal API CSA connector is the base.</t>
        </is>
      </c>
      <c r="D13" s="5" t="inlineStr">
        <is>
          <t>M</t>
        </is>
      </c>
      <c r="E13" s="5" t="n">
        <v>2</v>
      </c>
      <c r="F13" s="5" t="inlineStr">
        <is>
          <t>NA</t>
        </is>
      </c>
      <c r="G13" s="5" t="n">
        <v>0</v>
      </c>
      <c r="H13" s="5" t="inlineStr">
        <is>
          <t>M</t>
        </is>
      </c>
      <c r="I13" s="5">
        <f>E13+G13</f>
        <v/>
      </c>
      <c r="J13" s="5" t="inlineStr">
        <is>
          <t>NA</t>
        </is>
      </c>
      <c r="K13" s="5" t="inlineStr">
        <is>
          <t>Medium</t>
        </is>
      </c>
      <c r="L13" s="5" t="inlineStr">
        <is>
          <t>Q4</t>
        </is>
      </c>
      <c r="M13" s="5" t="inlineStr">
        <is>
          <t>IVA (Intelligent Virtual Agent) programme team, CSA and IVR teams, DTC Universal API (CSA connector shipped FY26).</t>
        </is>
      </c>
      <c r="N13" s="5" t="inlineStr">
        <is>
          <t>PM first-pass estimate; to be validated by engineering.</t>
        </is>
      </c>
      <c r="O13" s="7">
        <f>HYPERLINK("https://app.asana.com/1/8556634603607/project/1215564565348002/task/1218156225083574","Asana task")</f>
        <v/>
      </c>
    </row>
    <row r="14" ht="80" customHeight="1">
      <c r="A14" s="2" t="inlineStr">
        <is>
          <t>2) Business Goals</t>
        </is>
      </c>
      <c r="B14" s="3" t="n"/>
      <c r="C14" s="3" t="n"/>
      <c r="D14" s="4" t="inlineStr">
        <is>
          <t>&lt;&lt;&lt; 1 FTE &gt;&gt;&gt;
S: 1 sprint
M: 2 sprints
L: 4 sprints
XL: 9 sprints
XXL: 15 sprints</t>
        </is>
      </c>
      <c r="E14" s="3" t="n"/>
      <c r="F14" s="4" t="inlineStr">
        <is>
          <t>&lt;&lt;&lt; 1 FTE &gt;&gt;&gt;
S: 1 sprint
M: 2 sprints
L: 4 sprints
XL: 9 sprints
XXL: 15 sprints</t>
        </is>
      </c>
      <c r="G14" s="3" t="n"/>
      <c r="H14" s="4" t="inlineStr">
        <is>
          <t>Total estimation
(BE + APP)</t>
        </is>
      </c>
      <c r="I14" s="3" t="n"/>
      <c r="J14" s="3" t="n"/>
      <c r="K14" s="3" t="n"/>
      <c r="L14" s="3" t="n"/>
      <c r="M14" s="3" t="n"/>
      <c r="N14" s="3" t="n"/>
      <c r="O14" s="3" t="n"/>
    </row>
    <row r="15" ht="150" customHeight="1">
      <c r="A15" s="5" t="inlineStr">
        <is>
          <t>Q1 · #1</t>
        </is>
      </c>
      <c r="B15" s="6" t="inlineStr">
        <is>
          <t>Integrate MTU transaction flow to Terminus</t>
        </is>
      </c>
      <c r="C15" s="5" t="inlineStr">
        <is>
          <t>Send every IMTU purchase to Terminus for a fraud decision before the top-up is fulfilled.
Terminus is IDT's internal fraud decisioning system. Today IMTU relies on a patchwork of controls (IDT Pay checks, card BIN rules, the br-web block list) and none of them fired during the Egypt and Pakistan burner-account cash-out in August 2026. This initiative wires the IMTU purchase flow into Terminus: the backend maps the transaction, sender and recipient attributes Terminus needs, calls it synchronously inside the order flow, and honours approve, reject and review outcomes before the carrier is charged. The work is backend only and was started in FY26, so FY27 closes it rather than opening it.</t>
        </is>
      </c>
      <c r="D15" s="5" t="inlineStr">
        <is>
          <t>M (1 left)</t>
        </is>
      </c>
      <c r="E15" s="5" t="n">
        <v>1</v>
      </c>
      <c r="F15" s="5" t="inlineStr">
        <is>
          <t>NA</t>
        </is>
      </c>
      <c r="G15" s="5" t="n">
        <v>0</v>
      </c>
      <c r="H15" s="5" t="inlineStr">
        <is>
          <t>M</t>
        </is>
      </c>
      <c r="I15" s="5">
        <f>E15+G15</f>
        <v/>
      </c>
      <c r="J15" s="5" t="inlineStr">
        <is>
          <t>NA</t>
        </is>
      </c>
      <c r="K15" s="5" t="inlineStr">
        <is>
          <t>High</t>
        </is>
      </c>
      <c r="L15" s="5" t="inlineStr">
        <is>
          <t>Q1</t>
        </is>
      </c>
      <c r="M15" s="5" t="inlineStr">
        <is>
          <t>Terminus team (fraud platform). Carry-over from FY26, backend In Progress.</t>
        </is>
      </c>
      <c r="N15" s="5" t="inlineStr">
        <is>
          <t>PM first-pass estimate; to be validated by engineering.</t>
        </is>
      </c>
      <c r="O15" s="7">
        <f>HYPERLINK("https://app.asana.com/1/8556634603607/project/1215564565348002/task/1215923982536887","Asana task")</f>
        <v/>
      </c>
    </row>
    <row r="16" ht="150" customHeight="1">
      <c r="A16" s="5" t="inlineStr">
        <is>
          <t>Q1 · #2</t>
        </is>
      </c>
      <c r="B16" s="6" t="inlineStr">
        <is>
          <t>New Channel: roll out the WhatsApp MTU chatbot</t>
        </is>
      </c>
      <c r="C16" s="5" t="inlineStr">
        <is>
          <t>Let a customer buy a top-up, pay, and check order status inside WhatsApp, on top of the DTC Universal API built in FY26.
The DTC Universal API shipped in FY26 exposes customer, product and order data to external channels, and the WhatsApp team is building the conversational layer. DCS owns the product side: offer lookup by recipient number, promo eligibility, checkout hand-off, order confirmation and status queries. The Felix Pago teardown done in August showed the winning pattern: a prefilled deep link into the chat, the carrier and offer resolved from the recipient number, and checkout in the WhatsApp in-app browser. eGift follows in a later phase once the MTU flow proves the channel.</t>
        </is>
      </c>
      <c r="D16" s="5" t="inlineStr">
        <is>
          <t>M</t>
        </is>
      </c>
      <c r="E16" s="5" t="n">
        <v>2</v>
      </c>
      <c r="F16" s="5" t="inlineStr">
        <is>
          <t>NA</t>
        </is>
      </c>
      <c r="G16" s="5" t="n">
        <v>0</v>
      </c>
      <c r="H16" s="5" t="inlineStr">
        <is>
          <t>M</t>
        </is>
      </c>
      <c r="I16" s="5">
        <f>E16+G16</f>
        <v/>
      </c>
      <c r="J16" s="5" t="inlineStr">
        <is>
          <t>NA</t>
        </is>
      </c>
      <c r="K16" s="5" t="inlineStr">
        <is>
          <t>High</t>
        </is>
      </c>
      <c r="L16" s="5" t="inlineStr">
        <is>
          <t>Q1</t>
        </is>
      </c>
      <c r="M16" s="5" t="inlineStr">
        <is>
          <t>WhatsApp Business team (chatbot and conversation design), DTC Universal API (shipped FY26), MARCOM for the entry deep link.</t>
        </is>
      </c>
      <c r="N16" s="5" t="inlineStr">
        <is>
          <t>PM first-pass estimate; to be validated by engineering.</t>
        </is>
      </c>
      <c r="O16" s="7">
        <f>HYPERLINK("https://app.asana.com/1/8556634603607/project/1215564565348002/task/1215922468293591","Asana task")</f>
        <v/>
      </c>
    </row>
    <row r="17" ht="150" customHeight="1">
      <c r="A17" s="5" t="inlineStr">
        <is>
          <t>Q1 · #4</t>
        </is>
      </c>
      <c r="B17" s="6" t="inlineStr">
        <is>
          <t>MTU modular component and cross-selling MTU on Money Transfer</t>
        </is>
      </c>
      <c r="C17" s="5" t="inlineStr">
        <is>
          <t>Build the reusable IMTU cross-sell module once and embed it first in the Money Transfer flow.
A reusable component that presents one personalised IMTU offer inside another product's purchase flow, starting with Money Transfer in the Boss Money app. The first version keeps the IMTU purchase as a separate transaction, so no unified cart is needed. The module takes a recipient (phone number or contact), resolves the carrier and the single best offer through backend rules and remote config, and hands off to the existing IMTU checkout. Pinless, insurance, calling plans, eGift and eSIM reuse the same module later, which is why it is the first build of the year.</t>
        </is>
      </c>
      <c r="D17" s="5" t="inlineStr">
        <is>
          <t>M</t>
        </is>
      </c>
      <c r="E17" s="5" t="n">
        <v>2</v>
      </c>
      <c r="F17" s="5" t="inlineStr">
        <is>
          <t>L</t>
        </is>
      </c>
      <c r="G17" s="5" t="n">
        <v>4</v>
      </c>
      <c r="H17" s="5" t="inlineStr">
        <is>
          <t>L</t>
        </is>
      </c>
      <c r="I17" s="5">
        <f>E17+G17</f>
        <v/>
      </c>
      <c r="J17" s="5" t="inlineStr">
        <is>
          <t>M</t>
        </is>
      </c>
      <c r="K17" s="5" t="inlineStr">
        <is>
          <t>High</t>
        </is>
      </c>
      <c r="L17" s="5" t="inlineStr">
        <is>
          <t>Q1</t>
        </is>
      </c>
      <c r="M17" s="5" t="inlineStr">
        <is>
          <t>Boss Money app team (host surface), Engager for offer selection. Spec started in Confluence (Modular IMTU Component).</t>
        </is>
      </c>
      <c r="N17" s="5" t="inlineStr">
        <is>
          <t>PM first-pass estimate; to be validated by engineering.</t>
        </is>
      </c>
      <c r="O17" s="7">
        <f>HYPERLINK("https://app.asana.com/1/8556634603607/project/1215564565348002/task/1216072967479615","Asana task")</f>
        <v/>
      </c>
    </row>
    <row r="18" ht="150" customHeight="1">
      <c r="A18" s="5" t="inlineStr">
        <is>
          <t>Q1 · #6</t>
        </is>
      </c>
      <c r="B18" s="6" t="inlineStr">
        <is>
          <t>Cross-sell 2.0: Engager cards on the MTU home page</t>
        </is>
      </c>
      <c r="C18" s="5" t="inlineStr">
        <is>
          <t>Replace the static Boss Recommends rail on the MTU home with cards served and targeted by Engager.
The redesigned MTU home ships a cross-sell rail whose content is static BMK configuration. Engager already decides which offer or message a user should see in other parts of the BR app. This initiative makes the MTU home rail an Engager placement: the backend requests cards for the user and the app renders whatever comes back (eGift, eSIM, calling plan, RAF, a subscription nudge), with impressions and taps reported back so Engager can learn. It is the cheapest path to personalised cross-sell and the prerequisite for the Personalised experiences via Engager board goal in Q4.</t>
        </is>
      </c>
      <c r="D18" s="5" t="inlineStr">
        <is>
          <t>S</t>
        </is>
      </c>
      <c r="E18" s="5" t="n">
        <v>1</v>
      </c>
      <c r="F18" s="5" t="inlineStr">
        <is>
          <t>M</t>
        </is>
      </c>
      <c r="G18" s="5" t="n">
        <v>2</v>
      </c>
      <c r="H18" s="5" t="inlineStr">
        <is>
          <t>M</t>
        </is>
      </c>
      <c r="I18" s="5">
        <f>E18+G18</f>
        <v/>
      </c>
      <c r="J18" s="5" t="inlineStr">
        <is>
          <t>S</t>
        </is>
      </c>
      <c r="K18" s="5" t="inlineStr">
        <is>
          <t>Medium</t>
        </is>
      </c>
      <c r="L18" s="5" t="inlineStr">
        <is>
          <t>Q1</t>
        </is>
      </c>
      <c r="M18" s="5" t="inlineStr">
        <is>
          <t>Engager team (card content and targeting), BR7 MTU home redesign (shipped FY26).</t>
        </is>
      </c>
      <c r="N18" s="5" t="inlineStr">
        <is>
          <t>PM first-pass estimate; to be validated by engineering.</t>
        </is>
      </c>
      <c r="O18" s="7">
        <f>HYPERLINK("https://app.asana.com/1/8556634603607/project/1215564565348002/task/1215922468293595","Asana task")</f>
        <v/>
      </c>
    </row>
    <row r="19" ht="150" customHeight="1">
      <c r="A19" s="5" t="inlineStr">
        <is>
          <t>Q2 · #9</t>
        </is>
      </c>
      <c r="B19" s="6" t="inlineStr">
        <is>
          <t>Integrate with the KVouchers platform (IDT vouchers and new flows)</t>
        </is>
      </c>
      <c r="C19" s="5" t="inlineStr">
        <is>
          <t>Move eGift onto an IDT voucher that the recipient redeems for a branded card, capturing breakage and improving cash flow and fraud control.
Today an eGift purchase issues the branded gift card immediately, so IDT pays the supplier at once and any fraud loss is realised at once. KVouchers issues an IDT voucher first; the recipient redeems it for a specific brand or any brand in the catalogue, and only then is the branded card bought. This delays supplier spend, creates breakage on unredeemed vouchers, gives a consistent branded experience, and adds a fraud checkpoint between purchase and redemption. The platform becomes the foundation of eGift, so the existing purchase flow migrates onto it and the redemption experience is new.</t>
        </is>
      </c>
      <c r="D19" s="5" t="inlineStr">
        <is>
          <t>L</t>
        </is>
      </c>
      <c r="E19" s="5" t="n">
        <v>4</v>
      </c>
      <c r="F19" s="5" t="inlineStr">
        <is>
          <t>M</t>
        </is>
      </c>
      <c r="G19" s="5" t="n">
        <v>2</v>
      </c>
      <c r="H19" s="5" t="inlineStr">
        <is>
          <t>L</t>
        </is>
      </c>
      <c r="I19" s="5">
        <f>E19+G19</f>
        <v/>
      </c>
      <c r="J19" s="5" t="inlineStr">
        <is>
          <t>M</t>
        </is>
      </c>
      <c r="K19" s="5" t="inlineStr">
        <is>
          <t>High</t>
        </is>
      </c>
      <c r="L19" s="5" t="inlineStr">
        <is>
          <t>Q2</t>
        </is>
      </c>
      <c r="M19" s="5" t="inlineStr">
        <is>
          <t>KVouchers platform team, Finance (breakage accounting), eGift supplier contracts.</t>
        </is>
      </c>
      <c r="N19" s="5" t="inlineStr">
        <is>
          <t>PM first-pass estimate; to be validated by engineering.</t>
        </is>
      </c>
      <c r="O19" s="7">
        <f>HYPERLINK("https://app.asana.com/1/8556634603607/project/1215564565348002/task/1215840097748060","Asana task")</f>
        <v/>
      </c>
    </row>
    <row r="20" ht="150" customHeight="1">
      <c r="A20" s="5" t="inlineStr">
        <is>
          <t>Q2 · #10</t>
        </is>
      </c>
      <c r="B20" s="6" t="inlineStr">
        <is>
          <t>Cross-selling MTU on Pinless (module)</t>
        </is>
      </c>
      <c r="C20" s="5" t="inlineStr">
        <is>
          <t>Embed the IMTU module in the Pinless calling flow so callers to a number are offered a top-up for that number.
Pinless calling knows the number the customer just called. That number is the best possible IMTU lead: the caller cares about the person and the carrier is known from the lookup. This initiative places the module built in Q1 on the post-call screen and the recent-calls list of the BR calling app, offering a single relevant top-up for the called number. Because the module already exists, the work is the host integration, the trigger rules and the analytics.</t>
        </is>
      </c>
      <c r="D20" s="5" t="inlineStr">
        <is>
          <t>S</t>
        </is>
      </c>
      <c r="E20" s="5" t="n">
        <v>1</v>
      </c>
      <c r="F20" s="5" t="inlineStr">
        <is>
          <t>S</t>
        </is>
      </c>
      <c r="G20" s="5" t="n">
        <v>1</v>
      </c>
      <c r="H20" s="5" t="inlineStr">
        <is>
          <t>S</t>
        </is>
      </c>
      <c r="I20" s="5">
        <f>E20+G20</f>
        <v/>
      </c>
      <c r="J20" s="5" t="inlineStr">
        <is>
          <t>S</t>
        </is>
      </c>
      <c r="K20" s="5" t="inlineStr">
        <is>
          <t>High</t>
        </is>
      </c>
      <c r="L20" s="5" t="inlineStr">
        <is>
          <t>Q2</t>
        </is>
      </c>
      <c r="M20" s="5" t="inlineStr">
        <is>
          <t>MTU modular component (G1). Calling (Pinless) product team for the host screens.</t>
        </is>
      </c>
      <c r="N20" s="5" t="inlineStr">
        <is>
          <t>PM first-pass estimate; to be validated by engineering.</t>
        </is>
      </c>
      <c r="O20" s="7">
        <f>HYPERLINK("https://app.asana.com/1/8556634603607/project/1215564565348002/task/1216072967479611","Asana task")</f>
        <v/>
      </c>
    </row>
    <row r="21" ht="150" customHeight="1">
      <c r="A21" s="5" t="inlineStr">
        <is>
          <t>Q2 · #11</t>
        </is>
      </c>
      <c r="B21" s="6" t="inlineStr">
        <is>
          <t>Fraud: integrate the outsourced eGift security layer</t>
        </is>
      </c>
      <c r="C21" s="5" t="inlineStr">
        <is>
          <t>Put a specialised fraud vendor in front of every eGift purchase so more good orders are approved and fewer bad ones are paid for.
eGift is the most fraud-exposed DCS product because the goods are instant and resellable, and FY26 controls decline a very high share of attempts, much of it issuer declines that no vendor can convert. The vendor handover done in September set the real go-live for March 2027. DCS's work is the integration: device and behavioural signals collected in the app, the vendor decision consumed in the order flow, review outcomes handled, and the results fed back so the model learns. Together with KVouchers, this moves eGift from 'decline everything risky' to 'approve more, hold the risky ones'.</t>
        </is>
      </c>
      <c r="D21" s="5" t="inlineStr">
        <is>
          <t>M</t>
        </is>
      </c>
      <c r="E21" s="5" t="n">
        <v>2</v>
      </c>
      <c r="F21" s="5" t="inlineStr">
        <is>
          <t>S</t>
        </is>
      </c>
      <c r="G21" s="5" t="n">
        <v>1</v>
      </c>
      <c r="H21" s="5" t="inlineStr">
        <is>
          <t>M</t>
        </is>
      </c>
      <c r="I21" s="5">
        <f>E21+G21</f>
        <v/>
      </c>
      <c r="J21" s="5" t="inlineStr">
        <is>
          <t>NA</t>
        </is>
      </c>
      <c r="K21" s="5" t="inlineStr">
        <is>
          <t>Medium</t>
        </is>
      </c>
      <c r="L21" s="5" t="inlineStr">
        <is>
          <t>Q2</t>
        </is>
      </c>
      <c r="M21" s="5" t="inlineStr">
        <is>
          <t>Fraud vendor (Accertify, decisioning through IDT Pay), Fraud and Finance teams; vendor go-live planned for March 2027.</t>
        </is>
      </c>
      <c r="N21" s="5" t="inlineStr">
        <is>
          <t>PM first-pass estimate; to be validated by engineering.</t>
        </is>
      </c>
      <c r="O21" s="7">
        <f>HYPERLINK("https://app.asana.com/1/8556634603607/project/1215564565348002/task/1215781833204001","Asana task")</f>
        <v/>
      </c>
    </row>
    <row r="22" ht="150" customHeight="1">
      <c r="A22" s="5" t="inlineStr">
        <is>
          <t>Q3 · #16</t>
        </is>
      </c>
      <c r="B22" s="6" t="inlineStr">
        <is>
          <t>Request Top-Up (SMS based)</t>
        </is>
      </c>
      <c r="C22" s="5" t="inlineStr">
        <is>
          <t>Let a recipient abroad ask a sender for a top-up by SMS, landing the sender in a prefilled purchase flow.
Request Top-Up turns the recipient into an acquisition channel. The recipient sends a request from a lightweight web page or by replying to an SMS; the sender receives an SMS with a link that opens the app (or web) with the number, carrier and suggested amount prefilled. Senders who are not BR customers land in onboarding with a RAF credit. The FY26 board carried it as a business spike; FY27 builds it once the RAF loop and the WhatsApp channel exist to amplify it.</t>
        </is>
      </c>
      <c r="D22" s="5" t="inlineStr">
        <is>
          <t>M</t>
        </is>
      </c>
      <c r="E22" s="5" t="n">
        <v>2</v>
      </c>
      <c r="F22" s="5" t="inlineStr">
        <is>
          <t>M</t>
        </is>
      </c>
      <c r="G22" s="5" t="n">
        <v>2</v>
      </c>
      <c r="H22" s="5" t="inlineStr">
        <is>
          <t>M</t>
        </is>
      </c>
      <c r="I22" s="5">
        <f>E22+G22</f>
        <v/>
      </c>
      <c r="J22" s="5" t="inlineStr">
        <is>
          <t>M</t>
        </is>
      </c>
      <c r="K22" s="5" t="inlineStr">
        <is>
          <t>Medium</t>
        </is>
      </c>
      <c r="L22" s="5" t="inlineStr">
        <is>
          <t>Q3</t>
        </is>
      </c>
      <c r="M22" s="5" t="inlineStr">
        <is>
          <t>MARCOM (landing page and SMS templates), SMS gateway, RAF platform for the referral hook.</t>
        </is>
      </c>
      <c r="N22" s="5" t="inlineStr">
        <is>
          <t>PM first-pass estimate; to be validated by engineering.</t>
        </is>
      </c>
      <c r="O22" s="7">
        <f>HYPERLINK("https://app.asana.com/1/8556634603607/project/1215564565348002/task/1215836632250426","Asana task")</f>
        <v/>
      </c>
    </row>
    <row r="23" ht="150" customHeight="1">
      <c r="A23" s="5" t="inlineStr">
        <is>
          <t>Q3 · #17</t>
        </is>
      </c>
      <c r="B23" s="6" t="inlineStr">
        <is>
          <t>eSIM location-based improvements</t>
        </is>
      </c>
      <c r="C23" s="5" t="inlineStr">
        <is>
          <t>Use the traveller's location and trip context to recommend, activate and top up the right eSIM plan at the right moment.
The eSIM funnel converts 2.3% end to end and loses most users at order review, partly because the customer has to know which region plan they need. Location awareness fixes the recommendation: detect the destination from the device locale, trip dates or arrival, propose the matching regional plan, remind the traveller to install before departure, and offer a data top-up when usage is high in-country. It also positions the eSIM product for the ROW expansion, where the customer is the traveller rather than the sender.</t>
        </is>
      </c>
      <c r="D23" s="5" t="inlineStr">
        <is>
          <t>S</t>
        </is>
      </c>
      <c r="E23" s="5" t="n">
        <v>1</v>
      </c>
      <c r="F23" s="5" t="inlineStr">
        <is>
          <t>M</t>
        </is>
      </c>
      <c r="G23" s="5" t="n">
        <v>2</v>
      </c>
      <c r="H23" s="5" t="inlineStr">
        <is>
          <t>M</t>
        </is>
      </c>
      <c r="I23" s="5">
        <f>E23+G23</f>
        <v/>
      </c>
      <c r="J23" s="5" t="inlineStr">
        <is>
          <t>S</t>
        </is>
      </c>
      <c r="K23" s="5" t="inlineStr">
        <is>
          <t>Medium</t>
        </is>
      </c>
      <c r="L23" s="5" t="inlineStr">
        <is>
          <t>Q3</t>
        </is>
      </c>
      <c r="M23" s="5" t="inlineStr">
        <is>
          <t>eSIM supplier (coverage and usage data), OS location permissions.</t>
        </is>
      </c>
      <c r="N23" s="5" t="inlineStr">
        <is>
          <t>PM first-pass estimate; to be validated by engineering.</t>
        </is>
      </c>
      <c r="O23" s="7">
        <f>HYPERLINK("https://app.asana.com/1/8556634603607/project/1215564565348002/task/1215728501648860","Asana task")</f>
        <v/>
      </c>
    </row>
    <row r="24" ht="150" customHeight="1">
      <c r="A24" s="5" t="inlineStr">
        <is>
          <t>Q4 · #21</t>
        </is>
      </c>
      <c r="B24" s="6" t="inlineStr">
        <is>
          <t>MTU gamification</t>
        </is>
      </c>
      <c r="C24" s="5" t="inlineStr">
        <is>
          <t>A cross-product programme of missions, streaks and surprise rewards that drives repeat purchase and product exploration.
FY26 shipped the first mechanics as Braze in-app messages: punch cards and first-purchase promos. FY27 turns them into a programme: missions with visible progress, time-limited offers, occasional surprise games, a monthly calendar and sharing of prizes, each targeted to a customer segment. Mechanics and rewards are decided per product. It sits late in the year deliberately so it can pay rewards into the Wallet promo balance and be targeted by Engager rather than by static segments.</t>
        </is>
      </c>
      <c r="D24" s="5" t="inlineStr">
        <is>
          <t>M</t>
        </is>
      </c>
      <c r="E24" s="5" t="n">
        <v>2</v>
      </c>
      <c r="F24" s="5" t="inlineStr">
        <is>
          <t>L</t>
        </is>
      </c>
      <c r="G24" s="5" t="n">
        <v>4</v>
      </c>
      <c r="H24" s="5" t="inlineStr">
        <is>
          <t>L</t>
        </is>
      </c>
      <c r="I24" s="5">
        <f>E24+G24</f>
        <v/>
      </c>
      <c r="J24" s="5" t="inlineStr">
        <is>
          <t>L</t>
        </is>
      </c>
      <c r="K24" s="5" t="inlineStr">
        <is>
          <t>Medium</t>
        </is>
      </c>
      <c r="L24" s="5" t="inlineStr">
        <is>
          <t>Q4</t>
        </is>
      </c>
      <c r="M24" s="5" t="inlineStr">
        <is>
          <t>BLS promo engine, Braze in-app messages (FY26 punch cards), Wallet promo balance (B9) for rewards, Loyalty team.</t>
        </is>
      </c>
      <c r="N24" s="5" t="inlineStr">
        <is>
          <t>PM first-pass estimate; to be validated by engineering.</t>
        </is>
      </c>
      <c r="O24" s="7">
        <f>HYPERLINK("https://app.asana.com/1/8556634603607/project/1215564565348002/task/1215836632250433","Asana task")</f>
        <v/>
      </c>
    </row>
    <row r="25" ht="150" customHeight="1">
      <c r="A25" s="5" t="inlineStr">
        <is>
          <t>Q4 · #22</t>
        </is>
      </c>
      <c r="B25" s="6" t="inlineStr">
        <is>
          <t>Introduce crypto payment checkout</t>
        </is>
      </c>
      <c r="C25" s="5" t="inlineStr">
        <is>
          <t>Accept crypto payments for IMTU through Triple-A, settled in fiat, with no crypto custody at IDT.
The architecture was defined in July 2026: Triple-A acts as the processor, the customer pays from their own wallet, IDT receives fiat, and IDT Pay gains an adapter so crypto is one more payment method in the order flow. It is a Low priority business goal aimed at a specific segment (crypto-native diaspora in corridors like Nigeria and Venezuela), so it lands in Q4 after the payments work that has broader impact. The Asana subtask to run an education call with Triple-A is the PM entry point.</t>
        </is>
      </c>
      <c r="D25" s="5" t="inlineStr">
        <is>
          <t>M</t>
        </is>
      </c>
      <c r="E25" s="5" t="n">
        <v>2</v>
      </c>
      <c r="F25" s="5" t="inlineStr">
        <is>
          <t>S</t>
        </is>
      </c>
      <c r="G25" s="5" t="n">
        <v>1</v>
      </c>
      <c r="H25" s="5" t="inlineStr">
        <is>
          <t>M</t>
        </is>
      </c>
      <c r="I25" s="5">
        <f>E25+G25</f>
        <v/>
      </c>
      <c r="J25" s="5" t="inlineStr">
        <is>
          <t>S</t>
        </is>
      </c>
      <c r="K25" s="5" t="inlineStr">
        <is>
          <t>Low</t>
        </is>
      </c>
      <c r="L25" s="5" t="inlineStr">
        <is>
          <t>Q4</t>
        </is>
      </c>
      <c r="M25" s="5" t="inlineStr">
        <is>
          <t>Triple-A (crypto payment processor), IDT Pay adapter, Legal and Compliance, Finance for fiat settlement.</t>
        </is>
      </c>
      <c r="N25" s="5" t="inlineStr">
        <is>
          <t>PM first-pass estimate; to be validated by engineering.</t>
        </is>
      </c>
      <c r="O25" s="7">
        <f>HYPERLINK("https://app.asana.com/1/8556634603607/project/1215564565348002/task/1215922468293585","Asana task")</f>
        <v/>
      </c>
    </row>
    <row r="26" ht="80" customHeight="1">
      <c r="A26" s="2" t="inlineStr">
        <is>
          <t>3) Tech Debt and company tech goals</t>
        </is>
      </c>
      <c r="B26" s="3" t="n"/>
      <c r="C26" s="3" t="n"/>
      <c r="D26" s="4" t="inlineStr">
        <is>
          <t>&lt;&lt;&lt; 1 FTE &gt;&gt;&gt;
S: 1 sprint
M: 2 sprints
L: 4 sprints
XL: 9 sprints
XXL: 15 sprints</t>
        </is>
      </c>
      <c r="E26" s="3" t="n"/>
      <c r="F26" s="4" t="inlineStr">
        <is>
          <t>&lt;&lt;&lt; 1 FTE &gt;&gt;&gt;
S: 1 sprint
M: 2 sprints
L: 4 sprints
XL: 9 sprints
XXL: 15 sprints</t>
        </is>
      </c>
      <c r="G26" s="3" t="n"/>
      <c r="H26" s="4" t="inlineStr">
        <is>
          <t>Total estimation
(BE + APP)</t>
        </is>
      </c>
      <c r="I26" s="3" t="n"/>
      <c r="J26" s="3" t="n"/>
      <c r="K26" s="3" t="n"/>
      <c r="L26" s="3" t="n"/>
      <c r="M26" s="3" t="n"/>
      <c r="N26" s="3" t="n"/>
      <c r="O26" s="3" t="n"/>
    </row>
    <row r="27" ht="60" customHeight="1">
      <c r="A27" s="5" t="n"/>
      <c r="B27" s="6" t="inlineStr">
        <is>
          <t>Company tech goals and tech debt (35% of DCS capacity)</t>
        </is>
      </c>
      <c r="C27" s="5" t="inlineStr">
        <is>
          <t>Unit test coverage, service consolidation, transaction-history storage, platform upgrades and the standing company tech goals. Reserved capacity, not scheduled per item.</t>
        </is>
      </c>
      <c r="D27" s="5" t="inlineStr">
        <is>
          <t>XL</t>
        </is>
      </c>
      <c r="E27" s="5">
        <f>3*26*0.35</f>
        <v/>
      </c>
      <c r="F27" s="5" t="inlineStr">
        <is>
          <t>XL</t>
        </is>
      </c>
      <c r="G27" s="5">
        <f>3*26*0.35</f>
        <v/>
      </c>
      <c r="H27" s="5" t="inlineStr">
        <is>
          <t>XL</t>
        </is>
      </c>
      <c r="I27" s="5">
        <f>E27+G27</f>
        <v/>
      </c>
      <c r="J27" s="5" t="n"/>
      <c r="K27" s="5" t="n"/>
      <c r="L27" s="5" t="n"/>
      <c r="M27" s="5" t="n"/>
      <c r="N27" s="5" t="inlineStr">
        <is>
          <t>Reserved capacity (35%), the FY26 convention. Not scheduled per item.</t>
        </is>
      </c>
      <c r="O27" s="5" t="n"/>
    </row>
    <row r="29">
      <c r="B29" s="8" t="inlineStr">
        <is>
          <t>TOTAL demand (initiatives only)</t>
        </is>
      </c>
      <c r="E29">
        <f>SUM(E3:E25)</f>
        <v/>
      </c>
      <c r="G29">
        <f>SUM(G3:G25)</f>
        <v/>
      </c>
      <c r="I29">
        <f>SUM(I3:I25)</f>
        <v/>
      </c>
    </row>
    <row r="30">
      <c r="B30" s="8" t="inlineStr">
        <is>
          <t>Tech reserve (35%)</t>
        </is>
      </c>
      <c r="E30">
        <f>E27</f>
        <v/>
      </c>
      <c r="G30">
        <f>G27</f>
        <v/>
      </c>
      <c r="I30">
        <f>I27</f>
        <v/>
      </c>
    </row>
    <row r="31">
      <c r="B31" s="8" t="inlineStr">
        <is>
          <t>Raw capacity: 3 BE and 3 App devs x 26 sprints</t>
        </is>
      </c>
      <c r="E31">
        <f>3*26</f>
        <v/>
      </c>
      <c r="G31">
        <f>3*26</f>
        <v/>
      </c>
    </row>
    <row r="32">
      <c r="B32" s="8" t="inlineStr">
        <is>
          <t>Capacity left for initiatives (raw minus reserve)</t>
        </is>
      </c>
      <c r="E32">
        <f>E31-E30</f>
        <v/>
      </c>
      <c r="G32">
        <f>G31-G30</f>
        <v/>
      </c>
    </row>
    <row r="33">
      <c r="B33" s="8" t="inlineStr">
        <is>
          <t>Over (negative) or under capacity</t>
        </is>
      </c>
      <c r="E33" s="8">
        <f>E32-E29</f>
        <v/>
      </c>
      <c r="G33" s="8">
        <f>G32-G29</f>
        <v/>
      </c>
    </row>
    <row r="35">
      <c r="B35" s="9" t="inlineStr">
        <is>
          <t>Sizing scale and colours follow the FY26 sheet:</t>
        </is>
      </c>
      <c r="C35" s="10">
        <f>HYPERLINK("https://docs.google.com/spreadsheets/d/1hK1f50qNr4Sv69JirlDSqw68bV_CzV_kJt7HgJJszDE/edit","DCS FY26 Initiatives")</f>
        <v/>
      </c>
    </row>
    <row r="36">
      <c r="B36" s="9" t="inlineStr">
        <is>
          <t>Source board:</t>
        </is>
      </c>
      <c r="C36" s="10">
        <f>HYPERLINK("https://app.asana.com/1/8556634603607/project/1215564565348002/list/1215603355542208","DCS FY27 Asana board")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78" customWidth="1" min="3" max="3"/>
    <col width="14" customWidth="1" min="4" max="4"/>
    <col width="9" customWidth="1" min="5" max="5"/>
    <col width="12" customWidth="1" min="6" max="6"/>
    <col width="14" customWidth="1" min="7" max="7"/>
    <col width="9" customWidth="1" min="8" max="8"/>
    <col width="12" customWidth="1" min="9" max="9"/>
    <col width="14" customWidth="1" min="10" max="10"/>
    <col width="9" customWidth="1" min="11" max="11"/>
    <col width="9" customWidth="1" min="12" max="12"/>
    <col width="9" customWidth="1" min="13" max="13"/>
    <col width="8" customWidth="1" min="14" max="14"/>
    <col width="34" customWidth="1" min="15" max="15"/>
    <col width="30" customWidth="1" min="16" max="16"/>
    <col width="12" customWidth="1" min="17" max="17"/>
  </cols>
  <sheetData>
    <row r="1" ht="34" customHeight="1">
      <c r="A1" s="1" t="inlineStr">
        <is>
          <t>Order</t>
        </is>
      </c>
      <c r="B1" s="1" t="inlineStr">
        <is>
          <t>Initiatives</t>
        </is>
      </c>
      <c r="C1" s="1" t="inlineStr">
        <is>
          <t>Description</t>
        </is>
      </c>
      <c r="D1" s="1" t="inlineStr">
        <is>
          <t>BE Estimation</t>
        </is>
      </c>
      <c r="E1" s="1" t="inlineStr">
        <is>
          <t>FTE sprints</t>
        </is>
      </c>
      <c r="F1" s="1" t="inlineStr">
        <is>
          <t>BE calendar sprints (2 lanes)</t>
        </is>
      </c>
      <c r="G1" s="1" t="inlineStr">
        <is>
          <t>APP Estimation</t>
        </is>
      </c>
      <c r="H1" s="1" t="inlineStr">
        <is>
          <t>FTE sprints</t>
        </is>
      </c>
      <c r="I1" s="1" t="inlineStr">
        <is>
          <t>App calendar sprints (2 lanes)</t>
        </is>
      </c>
      <c r="J1" s="1" t="inlineStr">
        <is>
          <t>BE + APP</t>
        </is>
      </c>
      <c r="K1" s="1" t="inlineStr">
        <is>
          <t>FTE sprints</t>
        </is>
      </c>
      <c r="L1" s="1" t="inlineStr">
        <is>
          <t>Design</t>
        </is>
      </c>
      <c r="M1" s="1" t="inlineStr">
        <is>
          <t>Priority</t>
        </is>
      </c>
      <c r="N1" s="1" t="inlineStr">
        <is>
          <t>Quarter</t>
        </is>
      </c>
      <c r="O1" s="1" t="inlineStr">
        <is>
          <t>Cross Dependency</t>
        </is>
      </c>
      <c r="P1" s="1" t="inlineStr">
        <is>
          <t>Comments</t>
        </is>
      </c>
      <c r="Q1" s="1" t="inlineStr">
        <is>
          <t>Asana</t>
        </is>
      </c>
    </row>
    <row r="2" ht="80" customHeight="1">
      <c r="A2" s="2" t="inlineStr">
        <is>
          <t>1) Board Goals</t>
        </is>
      </c>
      <c r="B2" s="3" t="n"/>
      <c r="C2" s="3" t="n"/>
      <c r="D2" s="4" t="inlineStr">
        <is>
          <t>&lt;&lt;&lt; 1 FTE &gt;&gt;&gt;
S: 1 sprint
M: 2 sprints
L: 4 sprints
XL: 9 sprints
XXL: 15 sprints</t>
        </is>
      </c>
      <c r="E2" s="3" t="n"/>
      <c r="F2" s="3" t="n"/>
      <c r="G2" s="4" t="inlineStr">
        <is>
          <t>&lt;&lt;&lt; 1 FTE &gt;&gt;&gt;
S: 1 sprint
M: 2 sprints
L: 4 sprints
XL: 9 sprints
XXL: 15 sprints</t>
        </is>
      </c>
      <c r="H2" s="3" t="n"/>
      <c r="I2" s="3" t="n"/>
      <c r="J2" s="4" t="inlineStr">
        <is>
          <t>Total estimation
(BE + APP)</t>
        </is>
      </c>
      <c r="K2" s="3" t="n"/>
      <c r="L2" s="3" t="n"/>
      <c r="M2" s="3" t="n"/>
      <c r="N2" s="3" t="n"/>
      <c r="O2" s="3" t="n"/>
      <c r="P2" s="3" t="n"/>
      <c r="Q2" s="3" t="n"/>
    </row>
    <row r="3" ht="150" customHeight="1">
      <c r="A3" s="5" t="inlineStr">
        <is>
          <t>Q1 · #3</t>
        </is>
      </c>
      <c r="B3" s="6" t="inlineStr">
        <is>
          <t>Introduce postpaid top-ups (direct billers)</t>
        </is>
      </c>
      <c r="C3" s="5" t="inlineStr">
        <is>
          <t>Let a sender pay a relative's postpaid mobile bill through the IMTU flow, starting with Tigo.
IMTU today only recharges prepaid numbers. Postpaid customers in Latin America are a growing share of the base, carry higher bills, and pay monthly, which makes them a natural fit for subscriptions. The FY26 Tigo postpaid work sized the connector side as Large; FY27 completes it and exposes it in the app. The flow changes: the number lookup must recognise a postpaid line, the amount is the open bill (or an open range) instead of a fixed denomination, and confirmation may not be instant.</t>
        </is>
      </c>
      <c r="D3" s="5" t="inlineStr">
        <is>
          <t>L</t>
        </is>
      </c>
      <c r="E3" s="5" t="n">
        <v>4</v>
      </c>
      <c r="F3" s="5">
        <f>E3/2</f>
        <v/>
      </c>
      <c r="G3" s="5" t="inlineStr">
        <is>
          <t>S</t>
        </is>
      </c>
      <c r="H3" s="5" t="n">
        <v>1</v>
      </c>
      <c r="I3" s="5">
        <f>H3/2</f>
        <v/>
      </c>
      <c r="J3" s="5" t="inlineStr">
        <is>
          <t>L</t>
        </is>
      </c>
      <c r="K3" s="5">
        <f>E3+H3</f>
        <v/>
      </c>
      <c r="L3" s="5" t="inlineStr">
        <is>
          <t>S</t>
        </is>
      </c>
      <c r="M3" s="5" t="inlineStr">
        <is>
          <t>High</t>
        </is>
      </c>
      <c r="N3" s="5" t="inlineStr">
        <is>
          <t>Q1</t>
        </is>
      </c>
      <c r="O3" s="5" t="inlineStr">
        <is>
          <t>K2 connectors team (biller integration), Tigo and other carriers for postpaid APIs, Finance for non-instant settlement.</t>
        </is>
      </c>
      <c r="P3" s="5" t="inlineStr">
        <is>
          <t>PM first-pass estimate; to be validated by engineering.</t>
        </is>
      </c>
      <c r="Q3" s="7">
        <f>HYPERLINK("https://app.asana.com/1/8556634603607/project/1215564565348002/task/1218156429240249","Asana task")</f>
        <v/>
      </c>
    </row>
    <row r="4" ht="150" customHeight="1">
      <c r="A4" s="5" t="inlineStr">
        <is>
          <t>Q1 · #5</t>
        </is>
      </c>
      <c r="B4" s="6" t="inlineStr">
        <is>
          <t>Reduce subscription cancellations</t>
        </is>
      </c>
      <c r="C4" s="5" t="inlineStr">
        <is>
          <t>Cut voluntary and accidental cancellations across the in, during and out moments of a subscription.
Subscriptions are the highest-quality IMTU revenue and the default-on toggle grew them fast, but the September exec review showed the cancel rate is the open problem: the home subscriptions widget is used mostly as a cancel surface and a share of cancels are buyer's remorse within days of an unintended opt-in. The Asana subtasks frame the work as in, during and out. In: a short remorse window with a one-tap undo. During: pause instead of cancel, and a savings message that shows what the subscription has earned. Out: an exit survey that captures the reason and offers a targeted save. Underneath, the cancel funnel needs clean events so each change can be measured.</t>
        </is>
      </c>
      <c r="D4" s="5" t="inlineStr">
        <is>
          <t>M</t>
        </is>
      </c>
      <c r="E4" s="5" t="n">
        <v>2</v>
      </c>
      <c r="F4" s="5">
        <f>E4/2</f>
        <v/>
      </c>
      <c r="G4" s="5" t="inlineStr">
        <is>
          <t>L</t>
        </is>
      </c>
      <c r="H4" s="5" t="n">
        <v>4</v>
      </c>
      <c r="I4" s="5">
        <f>H4/2</f>
        <v/>
      </c>
      <c r="J4" s="5" t="inlineStr">
        <is>
          <t>L</t>
        </is>
      </c>
      <c r="K4" s="5">
        <f>E4+H4</f>
        <v/>
      </c>
      <c r="L4" s="5" t="inlineStr">
        <is>
          <t>M</t>
        </is>
      </c>
      <c r="M4" s="5" t="inlineStr">
        <is>
          <t>High</t>
        </is>
      </c>
      <c r="N4" s="5" t="inlineStr">
        <is>
          <t>Q1</t>
        </is>
      </c>
      <c r="O4" s="5" t="inlineStr">
        <is>
          <t>Subly (subscription engine), CRM for the Braze savings attribute, Amplitude taxonomy fixes (DCS-5331 style) for the cancel funnel.</t>
        </is>
      </c>
      <c r="P4" s="5" t="inlineStr">
        <is>
          <t>PM first-pass estimate; to be validated by engineering.</t>
        </is>
      </c>
      <c r="Q4" s="7">
        <f>HYPERLINK("https://app.asana.com/1/8556634603607/project/1215564565348002/task/1218156225083577","Asana task")</f>
        <v/>
      </c>
    </row>
    <row r="5" ht="150" customHeight="1">
      <c r="A5" s="5" t="inlineStr">
        <is>
          <t>Q2 · #7</t>
        </is>
      </c>
      <c r="B5" s="6" t="inlineStr">
        <is>
          <t>Add mobile payments (Apple Pay and Google Pay)</t>
        </is>
      </c>
      <c r="C5" s="5" t="inlineStr">
        <is>
          <t>Offer Apple Pay and Google Pay as payment methods for IMTU, eGift and eSIM in the BR calling app.
Card entry is the biggest friction in first purchase, and mobile wallets carry a fraud rate near zero (Apple Pay dropped to 0.01% in the fraud team's data). The DCS epic exists but has a single unstarted ticket, and the calling-app wallet spec deferred DCS products. This initiative adds both wallets as payment methods across the three DCS products through IDT Pay: the app collects the wallet token, the backend passes it to the processor, and the payment method is stored for subscriptions where the wallet allows it.</t>
        </is>
      </c>
      <c r="D5" s="5" t="inlineStr">
        <is>
          <t>L</t>
        </is>
      </c>
      <c r="E5" s="5" t="n">
        <v>4</v>
      </c>
      <c r="F5" s="5">
        <f>E5/2</f>
        <v/>
      </c>
      <c r="G5" s="5" t="inlineStr">
        <is>
          <t>L</t>
        </is>
      </c>
      <c r="H5" s="5" t="n">
        <v>4</v>
      </c>
      <c r="I5" s="5">
        <f>H5/2</f>
        <v/>
      </c>
      <c r="J5" s="5" t="inlineStr">
        <is>
          <t>L</t>
        </is>
      </c>
      <c r="K5" s="5">
        <f>E5+H5</f>
        <v/>
      </c>
      <c r="L5" s="5" t="inlineStr">
        <is>
          <t>S</t>
        </is>
      </c>
      <c r="M5" s="5" t="inlineStr">
        <is>
          <t>High</t>
        </is>
      </c>
      <c r="N5" s="5" t="inlineStr">
        <is>
          <t>Q2</t>
        </is>
      </c>
      <c r="O5" s="5" t="inlineStr">
        <is>
          <t>IDT Pay (tokenisation and processor support), Fraud team (Apple Pay fraud at 0.01%), Apple and Google merchant onboarding.</t>
        </is>
      </c>
      <c r="P5" s="5" t="inlineStr">
        <is>
          <t>PM first-pass estimate; to be validated by engineering.</t>
        </is>
      </c>
      <c r="Q5" s="7">
        <f>HYPERLINK("https://app.asana.com/1/8556634603607/project/1215564565348002/task/1218156429240276","Asana task")</f>
        <v/>
      </c>
    </row>
    <row r="6" ht="150" customHeight="1">
      <c r="A6" s="5" t="inlineStr">
        <is>
          <t>Q2 · #8</t>
        </is>
      </c>
      <c r="B6" s="6" t="inlineStr">
        <is>
          <t>Deploy AI-powered dynamic pricing (offer price and variable fees)</t>
        </is>
      </c>
      <c r="C6" s="5" t="inlineStr">
        <is>
          <t>Let the price and the fee of an IMTU offer be set per user and per moment by a pricing model, in both the BR and Boss Money apps.
Pricing today is one price and one fee per offer for everyone. The pricing team is building a model that sets the offer price and a variable fee from corridor, carrier, user history and time, and the FY26 spike estimated the DCS side as Small to Medium: the apps already render whatever price the backend returns. DCS's job is the integration and the guardrails: call the pricing service when offers are listed, lock the quoted price for the session, show fee and total transparently at confirmation, and make sure promos and subscriptions renew at the rules the customer agreed to.</t>
        </is>
      </c>
      <c r="D6" s="5" t="inlineStr">
        <is>
          <t>M</t>
        </is>
      </c>
      <c r="E6" s="5" t="n">
        <v>2</v>
      </c>
      <c r="F6" s="5">
        <f>E6/2</f>
        <v/>
      </c>
      <c r="G6" s="5" t="inlineStr">
        <is>
          <t>S</t>
        </is>
      </c>
      <c r="H6" s="5" t="n">
        <v>1</v>
      </c>
      <c r="I6" s="5">
        <f>H6/2</f>
        <v/>
      </c>
      <c r="J6" s="5" t="inlineStr">
        <is>
          <t>M</t>
        </is>
      </c>
      <c r="K6" s="5">
        <f>E6+H6</f>
        <v/>
      </c>
      <c r="L6" s="5" t="inlineStr">
        <is>
          <t>S</t>
        </is>
      </c>
      <c r="M6" s="5" t="inlineStr">
        <is>
          <t>High</t>
        </is>
      </c>
      <c r="N6" s="5" t="inlineStr">
        <is>
          <t>Q2</t>
        </is>
      </c>
      <c r="O6" s="5" t="inlineStr">
        <is>
          <t>Pricing team and OMTU (pricing model and service), K2 (price and fee fields), Legal for price display rules.</t>
        </is>
      </c>
      <c r="P6" s="5" t="inlineStr">
        <is>
          <t>PM first-pass estimate; to be validated by engineering.</t>
        </is>
      </c>
      <c r="Q6" s="7">
        <f>HYPERLINK("https://app.asana.com/1/8556634603607/project/1215564565348002/task/1218156225083580","Asana task")</f>
        <v/>
      </c>
    </row>
    <row r="7" ht="150" customHeight="1">
      <c r="A7" s="5" t="inlineStr">
        <is>
          <t>Q2 · #12</t>
        </is>
      </c>
      <c r="B7" s="6" t="inlineStr">
        <is>
          <t>Support sponsor calling plans and cross-sell them in the IMTU flow</t>
        </is>
      </c>
      <c r="C7" s="5" t="inlineStr">
        <is>
          <t>Let a US sender buy a calling plan for the recipient abroad, offered at the moment they top up that recipient.
A sponsor calling plan is paid by the US customer and used by the person abroad to call back. The IMTU flow already holds the recipient and the moment of generosity, so the cross-sell is natural: after a top-up, offer a sponsored plan for the same number. DCS provides the catalogue call, the offer placement in the IMTU success screen and recipient page, and the purchase hand-off; the calling product owns provisioning.</t>
        </is>
      </c>
      <c r="D7" s="5" t="inlineStr">
        <is>
          <t>M</t>
        </is>
      </c>
      <c r="E7" s="5" t="n">
        <v>2</v>
      </c>
      <c r="F7" s="5">
        <f>E7/2</f>
        <v/>
      </c>
      <c r="G7" s="5" t="inlineStr">
        <is>
          <t>M</t>
        </is>
      </c>
      <c r="H7" s="5" t="n">
        <v>2</v>
      </c>
      <c r="I7" s="5">
        <f>H7/2</f>
        <v/>
      </c>
      <c r="J7" s="5" t="inlineStr">
        <is>
          <t>M</t>
        </is>
      </c>
      <c r="K7" s="5">
        <f>E7+H7</f>
        <v/>
      </c>
      <c r="L7" s="5" t="inlineStr">
        <is>
          <t>S</t>
        </is>
      </c>
      <c r="M7" s="5" t="inlineStr">
        <is>
          <t>High</t>
        </is>
      </c>
      <c r="N7" s="5" t="inlineStr">
        <is>
          <t>Q2</t>
        </is>
      </c>
      <c r="O7" s="5" t="inlineStr">
        <is>
          <t>Calling plans product team (sponsor plan catalogue and provisioning), Engager for offer placement.</t>
        </is>
      </c>
      <c r="P7" s="5" t="inlineStr">
        <is>
          <t>PM first-pass estimate; to be validated by engineering.</t>
        </is>
      </c>
      <c r="Q7" s="7">
        <f>HYPERLINK("https://app.asana.com/1/8556634603607/project/1215564565348002/task/1218156429240267","Asana task")</f>
        <v/>
      </c>
    </row>
    <row r="8" ht="150" customHeight="1">
      <c r="A8" s="5" t="inlineStr">
        <is>
          <t>Q3 · #13</t>
        </is>
      </c>
      <c r="B8" s="6" t="inlineStr">
        <is>
          <t>Introduce bundling capabilities for DTC</t>
        </is>
      </c>
      <c r="C8" s="5" t="inlineStr">
        <is>
          <t>A bundling service that lets a customer buy and receive several products in one transaction, with bundle pricing.
Every cross-sell initiative so far ends in two transactions: the module offers, the customer pays twice. Bundling is the platform piece that removes that: one cart, one charge, multiple fulfilments (top-up plus eGift, top-up plus eSIM, top-up plus sponsor plan), with the option of a bundle price or discount. It is the largest build of the year, mostly backend: bundle definition, price composition, one payment, orchestration of fulfilments with partial-failure handling, and the refund and reporting rules that follow. The app side is a cart and a combined review screen.</t>
        </is>
      </c>
      <c r="D8" s="5" t="inlineStr">
        <is>
          <t>XL</t>
        </is>
      </c>
      <c r="E8" s="5" t="n">
        <v>9</v>
      </c>
      <c r="F8" s="5">
        <f>E8/2</f>
        <v/>
      </c>
      <c r="G8" s="5" t="inlineStr">
        <is>
          <t>L</t>
        </is>
      </c>
      <c r="H8" s="5" t="n">
        <v>4</v>
      </c>
      <c r="I8" s="5">
        <f>H8/2</f>
        <v/>
      </c>
      <c r="J8" s="5" t="inlineStr">
        <is>
          <t>XL</t>
        </is>
      </c>
      <c r="K8" s="5">
        <f>E8+H8</f>
        <v/>
      </c>
      <c r="L8" s="5" t="inlineStr">
        <is>
          <t>L</t>
        </is>
      </c>
      <c r="M8" s="5" t="inlineStr">
        <is>
          <t>High</t>
        </is>
      </c>
      <c r="N8" s="5" t="inlineStr">
        <is>
          <t>Q3</t>
        </is>
      </c>
      <c r="O8" s="5" t="inlineStr">
        <is>
          <t>K2 catalogue and order services, IDT Pay (single charge, partial refunds), Finance for revenue split, product teams for bundle definitions.</t>
        </is>
      </c>
      <c r="P8" s="5" t="inlineStr">
        <is>
          <t>PM first-pass estimate; to be validated by engineering.</t>
        </is>
      </c>
      <c r="Q8" s="7">
        <f>HYPERLINK("https://app.asana.com/1/8556634603607/project/1215564565348002/task/1218156429240253","Asana task")</f>
        <v/>
      </c>
    </row>
    <row r="9" ht="150" customHeight="1">
      <c r="A9" s="5" t="inlineStr">
        <is>
          <t>Q3 · #14</t>
        </is>
      </c>
      <c r="B9" s="6" t="inlineStr">
        <is>
          <t>Expand the BR app in ROW markets (Pinless, IMTU and eSIM)</t>
        </is>
      </c>
      <c r="C9" s="5" t="inlineStr">
        <is>
          <t>Take the BR calling app international with IMTU and eSIM enabled per market, not just US-origin sales.
The BR app sells IMTU and eSIM to US customers. The FY27 board goal is to launch and operate the app in rest-of-world markets (Europe and Canada first) with Pinless, IMTU and eSIM. For DCS this means market-aware catalogues, currencies and taxes, local payment methods through IDT Pay, sender-country rules for fraud and promos, localisation, and store listings. The FY26 Portuguese translation and the market flags in the offer catalogue are the starting point.</t>
        </is>
      </c>
      <c r="D9" s="5" t="inlineStr">
        <is>
          <t>L</t>
        </is>
      </c>
      <c r="E9" s="5" t="n">
        <v>4</v>
      </c>
      <c r="F9" s="5">
        <f>E9/2</f>
        <v/>
      </c>
      <c r="G9" s="5" t="inlineStr">
        <is>
          <t>L</t>
        </is>
      </c>
      <c r="H9" s="5" t="n">
        <v>4</v>
      </c>
      <c r="I9" s="5">
        <f>H9/2</f>
        <v/>
      </c>
      <c r="J9" s="5" t="inlineStr">
        <is>
          <t>L</t>
        </is>
      </c>
      <c r="K9" s="5">
        <f>E9+H9</f>
        <v/>
      </c>
      <c r="L9" s="5" t="inlineStr">
        <is>
          <t>M</t>
        </is>
      </c>
      <c r="M9" s="5" t="inlineStr">
        <is>
          <t>High</t>
        </is>
      </c>
      <c r="N9" s="5" t="inlineStr">
        <is>
          <t>Q3</t>
        </is>
      </c>
      <c r="O9" s="5" t="inlineStr">
        <is>
          <t>Country launch programme (legal, tax, payments per market), IDT Pay local payment methods, Calling (Pinless) team, K2 offer catalogue per market.</t>
        </is>
      </c>
      <c r="P9" s="5" t="inlineStr">
        <is>
          <t>PM first-pass estimate; to be validated by engineering.</t>
        </is>
      </c>
      <c r="Q9" s="7">
        <f>HYPERLINK("https://app.asana.com/1/8556634603607/project/1215564565348002/task/1218156429240264","Asana task")</f>
        <v/>
      </c>
    </row>
    <row r="10" ht="150" customHeight="1">
      <c r="A10" s="5" t="inlineStr">
        <is>
          <t>Q3 · #15</t>
        </is>
      </c>
      <c r="B10" s="6" t="inlineStr">
        <is>
          <t>Support the RAF program with a fully trackable journey</t>
        </is>
      </c>
      <c r="C10" s="5" t="inlineStr">
        <is>
          <t>Instrument and complete the Refer-a-Friend journey from invite to first transaction to reward payout so every step is measurable.
The new RAF platform launched in FY26 with a $5 IMTU reward, but attribution is still partial: invites, installs, first purchase and payout live in different systems and the RAF event documentation was a recurring chore. This initiative closes the loop in the DCS products: a referral code or link carried through install and first IMTU, eGift or eSIM purchase, reward issuance visible to both parties, and a single funnel in Amplitude and the data warehouse. The IMTU Request Top-Up and Gifting ideas both need this loop to work.</t>
        </is>
      </c>
      <c r="D10" s="5" t="inlineStr">
        <is>
          <t>M</t>
        </is>
      </c>
      <c r="E10" s="5" t="n">
        <v>2</v>
      </c>
      <c r="F10" s="5">
        <f>E10/2</f>
        <v/>
      </c>
      <c r="G10" s="5" t="inlineStr">
        <is>
          <t>M</t>
        </is>
      </c>
      <c r="H10" s="5" t="n">
        <v>2</v>
      </c>
      <c r="I10" s="5">
        <f>H10/2</f>
        <v/>
      </c>
      <c r="J10" s="5" t="inlineStr">
        <is>
          <t>M</t>
        </is>
      </c>
      <c r="K10" s="5">
        <f>E10+H10</f>
        <v/>
      </c>
      <c r="L10" s="5" t="inlineStr">
        <is>
          <t>S</t>
        </is>
      </c>
      <c r="M10" s="5" t="inlineStr">
        <is>
          <t>Medium</t>
        </is>
      </c>
      <c r="N10" s="5" t="inlineStr">
        <is>
          <t>Q3</t>
        </is>
      </c>
      <c r="O10" s="5" t="inlineStr">
        <is>
          <t>DTC Core (RAF platform, shipped FY26), CRM for reward messaging, Data team for attribution reporting.</t>
        </is>
      </c>
      <c r="P10" s="5" t="inlineStr">
        <is>
          <t>PM first-pass estimate; to be validated by engineering.</t>
        </is>
      </c>
      <c r="Q10" s="7">
        <f>HYPERLINK("https://app.asana.com/1/8556634603607/project/1215564565348002/task/1218156429240273","Asana task")</f>
        <v/>
      </c>
    </row>
    <row r="11" ht="150" customHeight="1">
      <c r="A11" s="5" t="inlineStr">
        <is>
          <t>Q4 · #18</t>
        </is>
      </c>
      <c r="B11" s="6" t="inlineStr">
        <is>
          <t>Personalised experiences via Engager (ML-driven)</t>
        </is>
      </c>
      <c r="C11" s="5" t="inlineStr">
        <is>
          <t>Expand Engager from cards on one rail to personalised home layouts, offers and lifecycle campaigns driven by ML models.
With Engager cards live on the MTU home (G3) and the module ranking hook in place (G1), FY27 Q4 turns them into a personalisation layer: the home order of sections, the featured offer, the module's single offer and the Braze lifecycle messages are all chosen per user by models trained on transaction history. DCS provides the placements, the feature events the models need, and the experimentation hooks; Data Science owns the models.</t>
        </is>
      </c>
      <c r="D11" s="5" t="inlineStr">
        <is>
          <t>M</t>
        </is>
      </c>
      <c r="E11" s="5" t="n">
        <v>2</v>
      </c>
      <c r="F11" s="5">
        <f>E11/2</f>
        <v/>
      </c>
      <c r="G11" s="5" t="inlineStr">
        <is>
          <t>M</t>
        </is>
      </c>
      <c r="H11" s="5" t="n">
        <v>2</v>
      </c>
      <c r="I11" s="5">
        <f>H11/2</f>
        <v/>
      </c>
      <c r="J11" s="5" t="inlineStr">
        <is>
          <t>M</t>
        </is>
      </c>
      <c r="K11" s="5">
        <f>E11+H11</f>
        <v/>
      </c>
      <c r="L11" s="5" t="inlineStr">
        <is>
          <t>M</t>
        </is>
      </c>
      <c r="M11" s="5" t="inlineStr">
        <is>
          <t>Medium</t>
        </is>
      </c>
      <c r="N11" s="5" t="inlineStr">
        <is>
          <t>Q4</t>
        </is>
      </c>
      <c r="O11" s="5" t="inlineStr">
        <is>
          <t>Engager and Data Science teams (ML models and next-best-offer), CRM (Braze), G3 Engager cards as the delivery surface.</t>
        </is>
      </c>
      <c r="P11" s="5" t="inlineStr">
        <is>
          <t>PM first-pass estimate; to be validated by engineering.</t>
        </is>
      </c>
      <c r="Q11" s="7">
        <f>HYPERLINK("https://app.asana.com/1/8556634603607/project/1215564565348002/task/1218156429240270","Asana task")</f>
        <v/>
      </c>
    </row>
    <row r="12" ht="150" customHeight="1">
      <c r="A12" s="5" t="inlineStr">
        <is>
          <t>Q4 · #19</t>
        </is>
      </c>
      <c r="B12" s="6" t="inlineStr">
        <is>
          <t>Promo balances support for the BR Wallet</t>
        </is>
      </c>
      <c r="C12" s="5" t="inlineStr">
        <is>
          <t>Make promotional balances earned through Boss products spendable from the Wallet in both apps, across all products including Pinless.
Promotions today pay out as product-specific credits: an IMTU discount, an eGift bonus, a RAF airtime reward. The Wallet integration shipped in FY26 made the stored balance a payment method for DCS products. This initiative adds a promo balance type to the Wallet so any campaign can pay a reward once and the customer spends it on any product in either app. Pinless is excluded as a source of promos but included as a place to spend them. It turns scattered incentives into one loyalty currency, which the gamification work then draws on.</t>
        </is>
      </c>
      <c r="D12" s="5" t="inlineStr">
        <is>
          <t>L</t>
        </is>
      </c>
      <c r="E12" s="5" t="n">
        <v>4</v>
      </c>
      <c r="F12" s="5">
        <f>E12/2</f>
        <v/>
      </c>
      <c r="G12" s="5" t="inlineStr">
        <is>
          <t>M</t>
        </is>
      </c>
      <c r="H12" s="5" t="n">
        <v>2</v>
      </c>
      <c r="I12" s="5">
        <f>H12/2</f>
        <v/>
      </c>
      <c r="J12" s="5" t="inlineStr">
        <is>
          <t>L</t>
        </is>
      </c>
      <c r="K12" s="5">
        <f>E12+H12</f>
        <v/>
      </c>
      <c r="L12" s="5" t="inlineStr">
        <is>
          <t>S</t>
        </is>
      </c>
      <c r="M12" s="5" t="inlineStr">
        <is>
          <t>Medium</t>
        </is>
      </c>
      <c r="N12" s="5" t="inlineStr">
        <is>
          <t>Q4</t>
        </is>
      </c>
      <c r="O12" s="5" t="inlineStr">
        <is>
          <t>BR Wallet team (balance types and ledger), BLS promo engine, Boss Money app team, Finance for promo liability.</t>
        </is>
      </c>
      <c r="P12" s="5" t="inlineStr">
        <is>
          <t>PM first-pass estimate; to be validated by engineering.</t>
        </is>
      </c>
      <c r="Q12" s="7">
        <f>HYPERLINK("https://app.asana.com/1/8556634603607/project/1215564565348002/task/1218156429240261","Asana task")</f>
        <v/>
      </c>
    </row>
    <row r="13" ht="150" customHeight="1">
      <c r="A13" s="5" t="inlineStr">
        <is>
          <t>Q4 · #20</t>
        </is>
      </c>
      <c r="B13" s="6" t="inlineStr">
        <is>
          <t>Support the IVA migration for MTU</t>
        </is>
      </c>
      <c r="C13" s="5" t="inlineStr">
        <is>
          <t>Move the MTU credit card purchase and self-service flows from the legacy IVR to the AI virtual agent without losing context.
The legacy IVR still sells top-ups by phone and handles balance and order questions. The company-wide IVA programme replaces the IVR with a conversational agent, and MTU is one of the flows to migrate. DCS provides the APIs the agent calls: recipient lookup, offer list, promo eligibility, payment with a stored card, order status, and the ability to carry context (caller identity, recipient, partially completed order) between the agent and the app or an agent hand-off. The DTC Universal API CSA connector is the base.</t>
        </is>
      </c>
      <c r="D13" s="5" t="inlineStr">
        <is>
          <t>M</t>
        </is>
      </c>
      <c r="E13" s="5" t="n">
        <v>2</v>
      </c>
      <c r="F13" s="5">
        <f>E13/2</f>
        <v/>
      </c>
      <c r="G13" s="5" t="inlineStr">
        <is>
          <t>NA</t>
        </is>
      </c>
      <c r="H13" s="5" t="n">
        <v>0</v>
      </c>
      <c r="I13" s="5">
        <f>H13/2</f>
        <v/>
      </c>
      <c r="J13" s="5" t="inlineStr">
        <is>
          <t>M</t>
        </is>
      </c>
      <c r="K13" s="5">
        <f>E13+H13</f>
        <v/>
      </c>
      <c r="L13" s="5" t="inlineStr">
        <is>
          <t>NA</t>
        </is>
      </c>
      <c r="M13" s="5" t="inlineStr">
        <is>
          <t>Medium</t>
        </is>
      </c>
      <c r="N13" s="5" t="inlineStr">
        <is>
          <t>Q4</t>
        </is>
      </c>
      <c r="O13" s="5" t="inlineStr">
        <is>
          <t>IVA (Intelligent Virtual Agent) programme team, CSA and IVR teams, DTC Universal API (CSA connector shipped FY26).</t>
        </is>
      </c>
      <c r="P13" s="5" t="inlineStr">
        <is>
          <t>PM first-pass estimate; to be validated by engineering.</t>
        </is>
      </c>
      <c r="Q13" s="7">
        <f>HYPERLINK("https://app.asana.com/1/8556634603607/project/1215564565348002/task/1218156225083574","Asana task")</f>
        <v/>
      </c>
    </row>
    <row r="14" ht="80" customHeight="1">
      <c r="A14" s="2" t="inlineStr">
        <is>
          <t>2) Business Goals</t>
        </is>
      </c>
      <c r="B14" s="3" t="n"/>
      <c r="C14" s="3" t="n"/>
      <c r="D14" s="4" t="inlineStr">
        <is>
          <t>&lt;&lt;&lt; 1 FTE &gt;&gt;&gt;
S: 1 sprint
M: 2 sprints
L: 4 sprints
XL: 9 sprints
XXL: 15 sprints</t>
        </is>
      </c>
      <c r="E14" s="3" t="n"/>
      <c r="F14" s="3" t="n"/>
      <c r="G14" s="4" t="inlineStr">
        <is>
          <t>&lt;&lt;&lt; 1 FTE &gt;&gt;&gt;
S: 1 sprint
M: 2 sprints
L: 4 sprints
XL: 9 sprints
XXL: 15 sprints</t>
        </is>
      </c>
      <c r="H14" s="3" t="n"/>
      <c r="I14" s="3" t="n"/>
      <c r="J14" s="4" t="inlineStr">
        <is>
          <t>Total estimation
(BE + APP)</t>
        </is>
      </c>
      <c r="K14" s="3" t="n"/>
      <c r="L14" s="3" t="n"/>
      <c r="M14" s="3" t="n"/>
      <c r="N14" s="3" t="n"/>
      <c r="O14" s="3" t="n"/>
      <c r="P14" s="3" t="n"/>
      <c r="Q14" s="3" t="n"/>
    </row>
    <row r="15" ht="150" customHeight="1">
      <c r="A15" s="5" t="inlineStr">
        <is>
          <t>Q1 · #1</t>
        </is>
      </c>
      <c r="B15" s="6" t="inlineStr">
        <is>
          <t>Integrate MTU transaction flow to Terminus</t>
        </is>
      </c>
      <c r="C15" s="5" t="inlineStr">
        <is>
          <t>Send every IMTU purchase to Terminus for a fraud decision before the top-up is fulfilled.
Terminus is IDT's internal fraud decisioning system. Today IMTU relies on a patchwork of controls (IDT Pay checks, card BIN rules, the br-web block list) and none of them fired during the Egypt and Pakistan burner-account cash-out in August 2026. This initiative wires the IMTU purchase flow into Terminus: the backend maps the transaction, sender and recipient attributes Terminus needs, calls it synchronously inside the order flow, and honours approve, reject and review outcomes before the carrier is charged. The work is backend only and was started in FY26, so FY27 closes it rather than opening it.</t>
        </is>
      </c>
      <c r="D15" s="5" t="inlineStr">
        <is>
          <t>M (1 left)</t>
        </is>
      </c>
      <c r="E15" s="5" t="n">
        <v>1</v>
      </c>
      <c r="F15" s="5">
        <f>E15/2</f>
        <v/>
      </c>
      <c r="G15" s="5" t="inlineStr">
        <is>
          <t>NA</t>
        </is>
      </c>
      <c r="H15" s="5" t="n">
        <v>0</v>
      </c>
      <c r="I15" s="5">
        <f>H15/2</f>
        <v/>
      </c>
      <c r="J15" s="5" t="inlineStr">
        <is>
          <t>M</t>
        </is>
      </c>
      <c r="K15" s="5">
        <f>E15+H15</f>
        <v/>
      </c>
      <c r="L15" s="5" t="inlineStr">
        <is>
          <t>NA</t>
        </is>
      </c>
      <c r="M15" s="5" t="inlineStr">
        <is>
          <t>High</t>
        </is>
      </c>
      <c r="N15" s="5" t="inlineStr">
        <is>
          <t>Q1</t>
        </is>
      </c>
      <c r="O15" s="5" t="inlineStr">
        <is>
          <t>Terminus team (fraud platform). Carry-over from FY26, backend In Progress.</t>
        </is>
      </c>
      <c r="P15" s="5" t="inlineStr">
        <is>
          <t>PM first-pass estimate; to be validated by engineering.</t>
        </is>
      </c>
      <c r="Q15" s="7">
        <f>HYPERLINK("https://app.asana.com/1/8556634603607/project/1215564565348002/task/1215923982536887","Asana task")</f>
        <v/>
      </c>
    </row>
    <row r="16" ht="150" customHeight="1">
      <c r="A16" s="5" t="inlineStr">
        <is>
          <t>Q1 · #2</t>
        </is>
      </c>
      <c r="B16" s="6" t="inlineStr">
        <is>
          <t>New Channel: roll out the WhatsApp MTU chatbot</t>
        </is>
      </c>
      <c r="C16" s="5" t="inlineStr">
        <is>
          <t>Let a customer buy a top-up, pay, and check order status inside WhatsApp, on top of the DTC Universal API built in FY26.
The DTC Universal API shipped in FY26 exposes customer, product and order data to external channels, and the WhatsApp team is building the conversational layer. DCS owns the product side: offer lookup by recipient number, promo eligibility, checkout hand-off, order confirmation and status queries. The Felix Pago teardown done in August showed the winning pattern: a prefilled deep link into the chat, the carrier and offer resolved from the recipient number, and checkout in the WhatsApp in-app browser. eGift follows in a later phase once the MTU flow proves the channel.</t>
        </is>
      </c>
      <c r="D16" s="5" t="inlineStr">
        <is>
          <t>M</t>
        </is>
      </c>
      <c r="E16" s="5" t="n">
        <v>2</v>
      </c>
      <c r="F16" s="5">
        <f>E16/2</f>
        <v/>
      </c>
      <c r="G16" s="5" t="inlineStr">
        <is>
          <t>NA</t>
        </is>
      </c>
      <c r="H16" s="5" t="n">
        <v>0</v>
      </c>
      <c r="I16" s="5">
        <f>H16/2</f>
        <v/>
      </c>
      <c r="J16" s="5" t="inlineStr">
        <is>
          <t>M</t>
        </is>
      </c>
      <c r="K16" s="5">
        <f>E16+H16</f>
        <v/>
      </c>
      <c r="L16" s="5" t="inlineStr">
        <is>
          <t>NA</t>
        </is>
      </c>
      <c r="M16" s="5" t="inlineStr">
        <is>
          <t>High</t>
        </is>
      </c>
      <c r="N16" s="5" t="inlineStr">
        <is>
          <t>Q1</t>
        </is>
      </c>
      <c r="O16" s="5" t="inlineStr">
        <is>
          <t>WhatsApp Business team (chatbot and conversation design), DTC Universal API (shipped FY26), MARCOM for the entry deep link.</t>
        </is>
      </c>
      <c r="P16" s="5" t="inlineStr">
        <is>
          <t>PM first-pass estimate; to be validated by engineering.</t>
        </is>
      </c>
      <c r="Q16" s="7">
        <f>HYPERLINK("https://app.asana.com/1/8556634603607/project/1215564565348002/task/1215922468293591","Asana task")</f>
        <v/>
      </c>
    </row>
    <row r="17" ht="150" customHeight="1">
      <c r="A17" s="5" t="inlineStr">
        <is>
          <t>Q1 · #4</t>
        </is>
      </c>
      <c r="B17" s="6" t="inlineStr">
        <is>
          <t>MTU modular component and cross-selling MTU on Money Transfer</t>
        </is>
      </c>
      <c r="C17" s="5" t="inlineStr">
        <is>
          <t>Build the reusable IMTU cross-sell module once and embed it first in the Money Transfer flow.
A reusable component that presents one personalised IMTU offer inside another product's purchase flow, starting with Money Transfer in the Boss Money app. The first version keeps the IMTU purchase as a separate transaction, so no unified cart is needed. The module takes a recipient (phone number or contact), resolves the carrier and the single best offer through backend rules and remote config, and hands off to the existing IMTU checkout. Pinless, insurance, calling plans, eGift and eSIM reuse the same module later, which is why it is the first build of the year.</t>
        </is>
      </c>
      <c r="D17" s="5" t="inlineStr">
        <is>
          <t>M</t>
        </is>
      </c>
      <c r="E17" s="5" t="n">
        <v>2</v>
      </c>
      <c r="F17" s="5">
        <f>E17/2</f>
        <v/>
      </c>
      <c r="G17" s="5" t="inlineStr">
        <is>
          <t>L</t>
        </is>
      </c>
      <c r="H17" s="5" t="n">
        <v>4</v>
      </c>
      <c r="I17" s="5">
        <f>H17/2</f>
        <v/>
      </c>
      <c r="J17" s="5" t="inlineStr">
        <is>
          <t>L</t>
        </is>
      </c>
      <c r="K17" s="5">
        <f>E17+H17</f>
        <v/>
      </c>
      <c r="L17" s="5" t="inlineStr">
        <is>
          <t>M</t>
        </is>
      </c>
      <c r="M17" s="5" t="inlineStr">
        <is>
          <t>High</t>
        </is>
      </c>
      <c r="N17" s="5" t="inlineStr">
        <is>
          <t>Q1</t>
        </is>
      </c>
      <c r="O17" s="5" t="inlineStr">
        <is>
          <t>Boss Money app team (host surface), Engager for offer selection. Spec started in Confluence (Modular IMTU Component).</t>
        </is>
      </c>
      <c r="P17" s="5" t="inlineStr">
        <is>
          <t>PM first-pass estimate; to be validated by engineering.</t>
        </is>
      </c>
      <c r="Q17" s="7">
        <f>HYPERLINK("https://app.asana.com/1/8556634603607/project/1215564565348002/task/1216072967479615","Asana task")</f>
        <v/>
      </c>
    </row>
    <row r="18" ht="150" customHeight="1">
      <c r="A18" s="5" t="inlineStr">
        <is>
          <t>Q1 · #6</t>
        </is>
      </c>
      <c r="B18" s="6" t="inlineStr">
        <is>
          <t>Cross-sell 2.0: Engager cards on the MTU home page</t>
        </is>
      </c>
      <c r="C18" s="5" t="inlineStr">
        <is>
          <t>Replace the static Boss Recommends rail on the MTU home with cards served and targeted by Engager.
The redesigned MTU home ships a cross-sell rail whose content is static BMK configuration. Engager already decides which offer or message a user should see in other parts of the BR app. This initiative makes the MTU home rail an Engager placement: the backend requests cards for the user and the app renders whatever comes back (eGift, eSIM, calling plan, RAF, a subscription nudge), with impressions and taps reported back so Engager can learn. It is the cheapest path to personalised cross-sell and the prerequisite for the Personalised experiences via Engager board goal in Q4.</t>
        </is>
      </c>
      <c r="D18" s="5" t="inlineStr">
        <is>
          <t>S</t>
        </is>
      </c>
      <c r="E18" s="5" t="n">
        <v>1</v>
      </c>
      <c r="F18" s="5">
        <f>E18/2</f>
        <v/>
      </c>
      <c r="G18" s="5" t="inlineStr">
        <is>
          <t>M</t>
        </is>
      </c>
      <c r="H18" s="5" t="n">
        <v>2</v>
      </c>
      <c r="I18" s="5">
        <f>H18/2</f>
        <v/>
      </c>
      <c r="J18" s="5" t="inlineStr">
        <is>
          <t>M</t>
        </is>
      </c>
      <c r="K18" s="5">
        <f>E18+H18</f>
        <v/>
      </c>
      <c r="L18" s="5" t="inlineStr">
        <is>
          <t>S</t>
        </is>
      </c>
      <c r="M18" s="5" t="inlineStr">
        <is>
          <t>Medium</t>
        </is>
      </c>
      <c r="N18" s="5" t="inlineStr">
        <is>
          <t>Q1</t>
        </is>
      </c>
      <c r="O18" s="5" t="inlineStr">
        <is>
          <t>Engager team (card content and targeting), BR7 MTU home redesign (shipped FY26).</t>
        </is>
      </c>
      <c r="P18" s="5" t="inlineStr">
        <is>
          <t>PM first-pass estimate; to be validated by engineering.</t>
        </is>
      </c>
      <c r="Q18" s="7">
        <f>HYPERLINK("https://app.asana.com/1/8556634603607/project/1215564565348002/task/1215922468293595","Asana task")</f>
        <v/>
      </c>
    </row>
    <row r="19" ht="150" customHeight="1">
      <c r="A19" s="5" t="inlineStr">
        <is>
          <t>Q2 · #9</t>
        </is>
      </c>
      <c r="B19" s="6" t="inlineStr">
        <is>
          <t>Integrate with the KVouchers platform (IDT vouchers and new flows)</t>
        </is>
      </c>
      <c r="C19" s="5" t="inlineStr">
        <is>
          <t>Move eGift onto an IDT voucher that the recipient redeems for a branded card, capturing breakage and improving cash flow and fraud control.
Today an eGift purchase issues the branded gift card immediately, so IDT pays the supplier at once and any fraud loss is realised at once. KVouchers issues an IDT voucher first; the recipient redeems it for a specific brand or any brand in the catalogue, and only then is the branded card bought. This delays supplier spend, creates breakage on unredeemed vouchers, gives a consistent branded experience, and adds a fraud checkpoint between purchase and redemption. The platform becomes the foundation of eGift, so the existing purchase flow migrates onto it and the redemption experience is new.</t>
        </is>
      </c>
      <c r="D19" s="5" t="inlineStr">
        <is>
          <t>L</t>
        </is>
      </c>
      <c r="E19" s="5" t="n">
        <v>4</v>
      </c>
      <c r="F19" s="5">
        <f>E19/2</f>
        <v/>
      </c>
      <c r="G19" s="5" t="inlineStr">
        <is>
          <t>M</t>
        </is>
      </c>
      <c r="H19" s="5" t="n">
        <v>2</v>
      </c>
      <c r="I19" s="5">
        <f>H19/2</f>
        <v/>
      </c>
      <c r="J19" s="5" t="inlineStr">
        <is>
          <t>L</t>
        </is>
      </c>
      <c r="K19" s="5">
        <f>E19+H19</f>
        <v/>
      </c>
      <c r="L19" s="5" t="inlineStr">
        <is>
          <t>M</t>
        </is>
      </c>
      <c r="M19" s="5" t="inlineStr">
        <is>
          <t>High</t>
        </is>
      </c>
      <c r="N19" s="5" t="inlineStr">
        <is>
          <t>Q2</t>
        </is>
      </c>
      <c r="O19" s="5" t="inlineStr">
        <is>
          <t>KVouchers platform team, Finance (breakage accounting), eGift supplier contracts.</t>
        </is>
      </c>
      <c r="P19" s="5" t="inlineStr">
        <is>
          <t>PM first-pass estimate; to be validated by engineering.</t>
        </is>
      </c>
      <c r="Q19" s="7">
        <f>HYPERLINK("https://app.asana.com/1/8556634603607/project/1215564565348002/task/1215840097748060","Asana task")</f>
        <v/>
      </c>
    </row>
    <row r="20" ht="150" customHeight="1">
      <c r="A20" s="5" t="inlineStr">
        <is>
          <t>Q2 · #10</t>
        </is>
      </c>
      <c r="B20" s="6" t="inlineStr">
        <is>
          <t>Cross-selling MTU on Pinless (module)</t>
        </is>
      </c>
      <c r="C20" s="5" t="inlineStr">
        <is>
          <t>Embed the IMTU module in the Pinless calling flow so callers to a number are offered a top-up for that number.
Pinless calling knows the number the customer just called. That number is the best possible IMTU lead: the caller cares about the person and the carrier is known from the lookup. This initiative places the module built in Q1 on the post-call screen and the recent-calls list of the BR calling app, offering a single relevant top-up for the called number. Because the module already exists, the work is the host integration, the trigger rules and the analytics.</t>
        </is>
      </c>
      <c r="D20" s="5" t="inlineStr">
        <is>
          <t>S</t>
        </is>
      </c>
      <c r="E20" s="5" t="n">
        <v>1</v>
      </c>
      <c r="F20" s="5">
        <f>E20/2</f>
        <v/>
      </c>
      <c r="G20" s="5" t="inlineStr">
        <is>
          <t>S</t>
        </is>
      </c>
      <c r="H20" s="5" t="n">
        <v>1</v>
      </c>
      <c r="I20" s="5">
        <f>H20/2</f>
        <v/>
      </c>
      <c r="J20" s="5" t="inlineStr">
        <is>
          <t>S</t>
        </is>
      </c>
      <c r="K20" s="5">
        <f>E20+H20</f>
        <v/>
      </c>
      <c r="L20" s="5" t="inlineStr">
        <is>
          <t>S</t>
        </is>
      </c>
      <c r="M20" s="5" t="inlineStr">
        <is>
          <t>High</t>
        </is>
      </c>
      <c r="N20" s="5" t="inlineStr">
        <is>
          <t>Q2</t>
        </is>
      </c>
      <c r="O20" s="5" t="inlineStr">
        <is>
          <t>MTU modular component (G1). Calling (Pinless) product team for the host screens.</t>
        </is>
      </c>
      <c r="P20" s="5" t="inlineStr">
        <is>
          <t>PM first-pass estimate; to be validated by engineering.</t>
        </is>
      </c>
      <c r="Q20" s="7">
        <f>HYPERLINK("https://app.asana.com/1/8556634603607/project/1215564565348002/task/1216072967479611","Asana task")</f>
        <v/>
      </c>
    </row>
    <row r="21" ht="150" customHeight="1">
      <c r="A21" s="5" t="inlineStr">
        <is>
          <t>Q2 · #11</t>
        </is>
      </c>
      <c r="B21" s="6" t="inlineStr">
        <is>
          <t>Fraud: integrate the outsourced eGift security layer</t>
        </is>
      </c>
      <c r="C21" s="5" t="inlineStr">
        <is>
          <t>Put a specialised fraud vendor in front of every eGift purchase so more good orders are approved and fewer bad ones are paid for.
eGift is the most fraud-exposed DCS product because the goods are instant and resellable, and FY26 controls decline a very high share of attempts, much of it issuer declines that no vendor can convert. The vendor handover done in September set the real go-live for March 2027. DCS's work is the integration: device and behavioural signals collected in the app, the vendor decision consumed in the order flow, review outcomes handled, and the results fed back so the model learns. Together with KVouchers, this moves eGift from 'decline everything risky' to 'approve more, hold the risky ones'.</t>
        </is>
      </c>
      <c r="D21" s="5" t="inlineStr">
        <is>
          <t>M</t>
        </is>
      </c>
      <c r="E21" s="5" t="n">
        <v>2</v>
      </c>
      <c r="F21" s="5">
        <f>E21/2</f>
        <v/>
      </c>
      <c r="G21" s="5" t="inlineStr">
        <is>
          <t>S</t>
        </is>
      </c>
      <c r="H21" s="5" t="n">
        <v>1</v>
      </c>
      <c r="I21" s="5">
        <f>H21/2</f>
        <v/>
      </c>
      <c r="J21" s="5" t="inlineStr">
        <is>
          <t>M</t>
        </is>
      </c>
      <c r="K21" s="5">
        <f>E21+H21</f>
        <v/>
      </c>
      <c r="L21" s="5" t="inlineStr">
        <is>
          <t>NA</t>
        </is>
      </c>
      <c r="M21" s="5" t="inlineStr">
        <is>
          <t>Medium</t>
        </is>
      </c>
      <c r="N21" s="5" t="inlineStr">
        <is>
          <t>Q2</t>
        </is>
      </c>
      <c r="O21" s="5" t="inlineStr">
        <is>
          <t>Fraud vendor (Accertify, decisioning through IDT Pay), Fraud and Finance teams; vendor go-live planned for March 2027.</t>
        </is>
      </c>
      <c r="P21" s="5" t="inlineStr">
        <is>
          <t>PM first-pass estimate; to be validated by engineering.</t>
        </is>
      </c>
      <c r="Q21" s="7">
        <f>HYPERLINK("https://app.asana.com/1/8556634603607/project/1215564565348002/task/1215781833204001","Asana task")</f>
        <v/>
      </c>
    </row>
    <row r="22" ht="150" customHeight="1">
      <c r="A22" s="5" t="inlineStr">
        <is>
          <t>Q3 · #16</t>
        </is>
      </c>
      <c r="B22" s="6" t="inlineStr">
        <is>
          <t>Request Top-Up (SMS based)</t>
        </is>
      </c>
      <c r="C22" s="5" t="inlineStr">
        <is>
          <t>Let a recipient abroad ask a sender for a top-up by SMS, landing the sender in a prefilled purchase flow.
Request Top-Up turns the recipient into an acquisition channel. The recipient sends a request from a lightweight web page or by replying to an SMS; the sender receives an SMS with a link that opens the app (or web) with the number, carrier and suggested amount prefilled. Senders who are not BR customers land in onboarding with a RAF credit. The FY26 board carried it as a business spike; FY27 builds it once the RAF loop and the WhatsApp channel exist to amplify it.</t>
        </is>
      </c>
      <c r="D22" s="5" t="inlineStr">
        <is>
          <t>M</t>
        </is>
      </c>
      <c r="E22" s="5" t="n">
        <v>2</v>
      </c>
      <c r="F22" s="5">
        <f>E22/2</f>
        <v/>
      </c>
      <c r="G22" s="5" t="inlineStr">
        <is>
          <t>M</t>
        </is>
      </c>
      <c r="H22" s="5" t="n">
        <v>2</v>
      </c>
      <c r="I22" s="5">
        <f>H22/2</f>
        <v/>
      </c>
      <c r="J22" s="5" t="inlineStr">
        <is>
          <t>M</t>
        </is>
      </c>
      <c r="K22" s="5">
        <f>E22+H22</f>
        <v/>
      </c>
      <c r="L22" s="5" t="inlineStr">
        <is>
          <t>M</t>
        </is>
      </c>
      <c r="M22" s="5" t="inlineStr">
        <is>
          <t>Medium</t>
        </is>
      </c>
      <c r="N22" s="5" t="inlineStr">
        <is>
          <t>Q3</t>
        </is>
      </c>
      <c r="O22" s="5" t="inlineStr">
        <is>
          <t>MARCOM (landing page and SMS templates), SMS gateway, RAF platform for the referral hook.</t>
        </is>
      </c>
      <c r="P22" s="5" t="inlineStr">
        <is>
          <t>PM first-pass estimate; to be validated by engineering.</t>
        </is>
      </c>
      <c r="Q22" s="7">
        <f>HYPERLINK("https://app.asana.com/1/8556634603607/project/1215564565348002/task/1215836632250426","Asana task")</f>
        <v/>
      </c>
    </row>
    <row r="23" ht="150" customHeight="1">
      <c r="A23" s="5" t="inlineStr">
        <is>
          <t>Q3 · #17</t>
        </is>
      </c>
      <c r="B23" s="6" t="inlineStr">
        <is>
          <t>eSIM location-based improvements</t>
        </is>
      </c>
      <c r="C23" s="5" t="inlineStr">
        <is>
          <t>Use the traveller's location and trip context to recommend, activate and top up the right eSIM plan at the right moment.
The eSIM funnel converts 2.3% end to end and loses most users at order review, partly because the customer has to know which region plan they need. Location awareness fixes the recommendation: detect the destination from the device locale, trip dates or arrival, propose the matching regional plan, remind the traveller to install before departure, and offer a data top-up when usage is high in-country. It also positions the eSIM product for the ROW expansion, where the customer is the traveller rather than the sender.</t>
        </is>
      </c>
      <c r="D23" s="5" t="inlineStr">
        <is>
          <t>S</t>
        </is>
      </c>
      <c r="E23" s="5" t="n">
        <v>1</v>
      </c>
      <c r="F23" s="5">
        <f>E23/2</f>
        <v/>
      </c>
      <c r="G23" s="5" t="inlineStr">
        <is>
          <t>M</t>
        </is>
      </c>
      <c r="H23" s="5" t="n">
        <v>2</v>
      </c>
      <c r="I23" s="5">
        <f>H23/2</f>
        <v/>
      </c>
      <c r="J23" s="5" t="inlineStr">
        <is>
          <t>M</t>
        </is>
      </c>
      <c r="K23" s="5">
        <f>E23+H23</f>
        <v/>
      </c>
      <c r="L23" s="5" t="inlineStr">
        <is>
          <t>S</t>
        </is>
      </c>
      <c r="M23" s="5" t="inlineStr">
        <is>
          <t>Medium</t>
        </is>
      </c>
      <c r="N23" s="5" t="inlineStr">
        <is>
          <t>Q3</t>
        </is>
      </c>
      <c r="O23" s="5" t="inlineStr">
        <is>
          <t>eSIM supplier (coverage and usage data), OS location permissions.</t>
        </is>
      </c>
      <c r="P23" s="5" t="inlineStr">
        <is>
          <t>PM first-pass estimate; to be validated by engineering.</t>
        </is>
      </c>
      <c r="Q23" s="7">
        <f>HYPERLINK("https://app.asana.com/1/8556634603607/project/1215564565348002/task/1215728501648860","Asana task")</f>
        <v/>
      </c>
    </row>
    <row r="24" ht="150" customHeight="1">
      <c r="A24" s="5" t="inlineStr">
        <is>
          <t>Q4 · #21</t>
        </is>
      </c>
      <c r="B24" s="6" t="inlineStr">
        <is>
          <t>MTU gamification</t>
        </is>
      </c>
      <c r="C24" s="5" t="inlineStr">
        <is>
          <t>A cross-product programme of missions, streaks and surprise rewards that drives repeat purchase and product exploration.
FY26 shipped the first mechanics as Braze in-app messages: punch cards and first-purchase promos. FY27 turns them into a programme: missions with visible progress, time-limited offers, occasional surprise games, a monthly calendar and sharing of prizes, each targeted to a customer segment. Mechanics and rewards are decided per product. It sits late in the year deliberately so it can pay rewards into the Wallet promo balance and be targeted by Engager rather than by static segments.</t>
        </is>
      </c>
      <c r="D24" s="5" t="inlineStr">
        <is>
          <t>M</t>
        </is>
      </c>
      <c r="E24" s="5" t="n">
        <v>2</v>
      </c>
      <c r="F24" s="5">
        <f>E24/2</f>
        <v/>
      </c>
      <c r="G24" s="5" t="inlineStr">
        <is>
          <t>L</t>
        </is>
      </c>
      <c r="H24" s="5" t="n">
        <v>4</v>
      </c>
      <c r="I24" s="5">
        <f>H24/2</f>
        <v/>
      </c>
      <c r="J24" s="5" t="inlineStr">
        <is>
          <t>L</t>
        </is>
      </c>
      <c r="K24" s="5">
        <f>E24+H24</f>
        <v/>
      </c>
      <c r="L24" s="5" t="inlineStr">
        <is>
          <t>L</t>
        </is>
      </c>
      <c r="M24" s="5" t="inlineStr">
        <is>
          <t>Medium</t>
        </is>
      </c>
      <c r="N24" s="5" t="inlineStr">
        <is>
          <t>Q4</t>
        </is>
      </c>
      <c r="O24" s="5" t="inlineStr">
        <is>
          <t>BLS promo engine, Braze in-app messages (FY26 punch cards), Wallet promo balance (B9) for rewards, Loyalty team.</t>
        </is>
      </c>
      <c r="P24" s="5" t="inlineStr">
        <is>
          <t>PM first-pass estimate; to be validated by engineering.</t>
        </is>
      </c>
      <c r="Q24" s="7">
        <f>HYPERLINK("https://app.asana.com/1/8556634603607/project/1215564565348002/task/1215836632250433","Asana task")</f>
        <v/>
      </c>
    </row>
    <row r="25" ht="150" customHeight="1">
      <c r="A25" s="5" t="inlineStr">
        <is>
          <t>Q4 · #22</t>
        </is>
      </c>
      <c r="B25" s="6" t="inlineStr">
        <is>
          <t>Introduce crypto payment checkout</t>
        </is>
      </c>
      <c r="C25" s="5" t="inlineStr">
        <is>
          <t>Accept crypto payments for IMTU through Triple-A, settled in fiat, with no crypto custody at IDT.
The architecture was defined in July 2026: Triple-A acts as the processor, the customer pays from their own wallet, IDT receives fiat, and IDT Pay gains an adapter so crypto is one more payment method in the order flow. It is a Low priority business goal aimed at a specific segment (crypto-native diaspora in corridors like Nigeria and Venezuela), so it lands in Q4 after the payments work that has broader impact. The Asana subtask to run an education call with Triple-A is the PM entry point.</t>
        </is>
      </c>
      <c r="D25" s="5" t="inlineStr">
        <is>
          <t>M</t>
        </is>
      </c>
      <c r="E25" s="5" t="n">
        <v>2</v>
      </c>
      <c r="F25" s="5">
        <f>E25/2</f>
        <v/>
      </c>
      <c r="G25" s="5" t="inlineStr">
        <is>
          <t>S</t>
        </is>
      </c>
      <c r="H25" s="5" t="n">
        <v>1</v>
      </c>
      <c r="I25" s="5">
        <f>H25/2</f>
        <v/>
      </c>
      <c r="J25" s="5" t="inlineStr">
        <is>
          <t>M</t>
        </is>
      </c>
      <c r="K25" s="5">
        <f>E25+H25</f>
        <v/>
      </c>
      <c r="L25" s="5" t="inlineStr">
        <is>
          <t>S</t>
        </is>
      </c>
      <c r="M25" s="5" t="inlineStr">
        <is>
          <t>Low</t>
        </is>
      </c>
      <c r="N25" s="5" t="inlineStr">
        <is>
          <t>Q4</t>
        </is>
      </c>
      <c r="O25" s="5" t="inlineStr">
        <is>
          <t>Triple-A (crypto payment processor), IDT Pay adapter, Legal and Compliance, Finance for fiat settlement.</t>
        </is>
      </c>
      <c r="P25" s="5" t="inlineStr">
        <is>
          <t>PM first-pass estimate; to be validated by engineering.</t>
        </is>
      </c>
      <c r="Q25" s="7">
        <f>HYPERLINK("https://app.asana.com/1/8556634603607/project/1215564565348002/task/1215922468293585","Asana task")</f>
        <v/>
      </c>
    </row>
    <row r="26" ht="80" customHeight="1">
      <c r="A26" s="2" t="inlineStr">
        <is>
          <t>3) Tech Debt and company tech goals</t>
        </is>
      </c>
      <c r="B26" s="3" t="n"/>
      <c r="C26" s="3" t="n"/>
      <c r="D26" s="4" t="inlineStr">
        <is>
          <t>&lt;&lt;&lt; 1 FTE &gt;&gt;&gt;
S: 1 sprint
M: 2 sprints
L: 4 sprints
XL: 9 sprints
XXL: 15 sprints</t>
        </is>
      </c>
      <c r="E26" s="3" t="n"/>
      <c r="F26" s="3" t="n"/>
      <c r="G26" s="4" t="inlineStr">
        <is>
          <t>&lt;&lt;&lt; 1 FTE &gt;&gt;&gt;
S: 1 sprint
M: 2 sprints
L: 4 sprints
XL: 9 sprints
XXL: 15 sprints</t>
        </is>
      </c>
      <c r="H26" s="3" t="n"/>
      <c r="I26" s="3" t="n"/>
      <c r="J26" s="4" t="inlineStr">
        <is>
          <t>Total estimation
(BE + APP)</t>
        </is>
      </c>
      <c r="K26" s="3" t="n"/>
      <c r="L26" s="3" t="n"/>
      <c r="M26" s="3" t="n"/>
      <c r="N26" s="3" t="n"/>
      <c r="O26" s="3" t="n"/>
      <c r="P26" s="3" t="n"/>
      <c r="Q26" s="3" t="n"/>
    </row>
    <row r="27" ht="60" customHeight="1">
      <c r="A27" s="5" t="n"/>
      <c r="B27" s="6" t="inlineStr">
        <is>
          <t>Company tech goals and tech debt (35% of DCS capacity)</t>
        </is>
      </c>
      <c r="C27" s="5" t="inlineStr">
        <is>
          <t>Unit test coverage, service consolidation, transaction-history storage, platform upgrades and the standing company tech goals. Reserved capacity, not scheduled per item.</t>
        </is>
      </c>
      <c r="D27" s="5" t="inlineStr">
        <is>
          <t>XL</t>
        </is>
      </c>
      <c r="E27" s="5">
        <f>3*26*0.35</f>
        <v/>
      </c>
      <c r="F27" s="5" t="n"/>
      <c r="G27" s="5" t="inlineStr">
        <is>
          <t>XL</t>
        </is>
      </c>
      <c r="H27" s="5">
        <f>3*26*0.35</f>
        <v/>
      </c>
      <c r="I27" s="5" t="n"/>
      <c r="J27" s="5" t="inlineStr">
        <is>
          <t>XL</t>
        </is>
      </c>
      <c r="K27" s="5">
        <f>E27+H27</f>
        <v/>
      </c>
      <c r="L27" s="5" t="n"/>
      <c r="M27" s="5" t="n"/>
      <c r="N27" s="5" t="n"/>
      <c r="O27" s="5" t="n"/>
      <c r="P27" s="5" t="inlineStr">
        <is>
          <t>Reserved capacity (35%), the FY26 convention. Not scheduled per item.</t>
        </is>
      </c>
      <c r="Q27" s="5" t="n"/>
    </row>
    <row r="29">
      <c r="B29" s="8" t="inlineStr">
        <is>
          <t>TOTAL demand (initiatives only)</t>
        </is>
      </c>
      <c r="E29">
        <f>SUM(E3:E25)</f>
        <v/>
      </c>
      <c r="H29">
        <f>SUM(H3:H25)</f>
        <v/>
      </c>
      <c r="K29">
        <f>SUM(K3:K25)</f>
        <v/>
      </c>
    </row>
    <row r="30">
      <c r="B30" s="8" t="inlineStr">
        <is>
          <t>Tech reserve (35%)</t>
        </is>
      </c>
      <c r="E30">
        <f>E27</f>
        <v/>
      </c>
      <c r="H30">
        <f>H27</f>
        <v/>
      </c>
      <c r="K30">
        <f>K27</f>
        <v/>
      </c>
    </row>
    <row r="31">
      <c r="B31" s="8" t="inlineStr">
        <is>
          <t>Raw capacity: 3 BE and 3 App devs x 26 sprints</t>
        </is>
      </c>
      <c r="E31">
        <f>3*26</f>
        <v/>
      </c>
      <c r="H31">
        <f>3*26</f>
        <v/>
      </c>
    </row>
    <row r="32">
      <c r="B32" s="8" t="inlineStr">
        <is>
          <t>Capacity left for initiatives (raw minus reserve)</t>
        </is>
      </c>
      <c r="E32">
        <f>E31-E30</f>
        <v/>
      </c>
      <c r="H32">
        <f>H31-H30</f>
        <v/>
      </c>
    </row>
    <row r="33">
      <c r="B33" s="8" t="inlineStr">
        <is>
          <t>Over (negative) or under capacity</t>
        </is>
      </c>
      <c r="E33" s="8">
        <f>E32-E29</f>
        <v/>
      </c>
      <c r="H33" s="8">
        <f>H32-H29</f>
        <v/>
      </c>
    </row>
    <row r="35">
      <c r="B35" s="9" t="inlineStr">
        <is>
          <t>Sizing scale and colours follow the FY26 sheet:</t>
        </is>
      </c>
      <c r="C35" s="10">
        <f>HYPERLINK("https://docs.google.com/spreadsheets/d/1hK1f50qNr4Sv69JirlDSqw68bV_CzV_kJt7HgJJszDE/edit","DCS FY26 Initiatives")</f>
        <v/>
      </c>
    </row>
    <row r="36">
      <c r="B36" s="9" t="inlineStr">
        <is>
          <t>Source board:</t>
        </is>
      </c>
      <c r="C36" s="10">
        <f>HYPERLINK("https://app.asana.com/1/8556634603607/project/1215564565348002/list/1215603355542208","DCS FY27 Asana board")</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J158"/>
  <sheetViews>
    <sheetView workbookViewId="0">
      <pane xSplit="3" ySplit="14" topLeftCell="D15"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46" customWidth="1" min="3" max="3"/>
    <col width="8" customWidth="1" min="4" max="4"/>
    <col width="7" customWidth="1" min="5" max="5"/>
    <col width="10"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6" customWidth="1" min="16" max="16"/>
    <col width="5"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s>
  <sheetData>
    <row r="1">
      <c r="C1" s="8" t="inlineStr">
        <is>
          <t>Legend</t>
        </is>
      </c>
      <c r="E1" s="5" t="inlineStr">
        <is>
          <t>Week 0 = 31 Aug 2026. Sprints are two weeks; S76 is running when the FY opens. PM may start up to 8 weeks before its quarter.</t>
        </is>
      </c>
    </row>
    <row r="2">
      <c r="B2" t="inlineStr">
        <is>
          <t>1 PM</t>
        </is>
      </c>
      <c r="C2" s="11" t="inlineStr">
        <is>
          <t>Discovery, PRD and strategy (PM)</t>
        </is>
      </c>
    </row>
    <row r="3">
      <c r="B3" t="inlineStr">
        <is>
          <t>1 Designer</t>
        </is>
      </c>
      <c r="C3" s="12" t="inlineStr">
        <is>
          <t>Design (Figma)</t>
        </is>
      </c>
    </row>
    <row r="4">
      <c r="B4" t="inlineStr">
        <is>
          <t>1 TPM</t>
        </is>
      </c>
      <c r="C4" s="13" t="inlineStr">
        <is>
          <t>Dev spike, specs and tickets (TPM)</t>
        </is>
      </c>
    </row>
    <row r="5">
      <c r="B5" t="inlineStr">
        <is>
          <t>3 BE devs</t>
        </is>
      </c>
      <c r="C5" s="14" t="inlineStr">
        <is>
          <t>Backend development</t>
        </is>
      </c>
    </row>
    <row r="6">
      <c r="B6" t="inlineStr">
        <is>
          <t>3 App devs</t>
        </is>
      </c>
      <c r="C6" s="15" t="inlineStr">
        <is>
          <t>App development</t>
        </is>
      </c>
    </row>
    <row r="7">
      <c r="B7" t="inlineStr">
        <is>
          <t>2 QAs</t>
        </is>
      </c>
      <c r="C7" s="16" t="inlineStr">
        <is>
          <t>QA and release</t>
        </is>
      </c>
    </row>
    <row r="8">
      <c r="B8" t="inlineStr">
        <is>
          <t>FY26 carry-over</t>
        </is>
      </c>
      <c r="C8" s="17" t="inlineStr">
        <is>
          <t>Work in flight when FY27 opens</t>
        </is>
      </c>
    </row>
    <row r="9">
      <c r="B9" t="inlineStr">
        <is>
          <t>Past FY27</t>
        </is>
      </c>
      <c r="C9" s="18" t="inlineStr">
        <is>
          <t>Lands in FY28 at the 35% tech reserve</t>
        </is>
      </c>
    </row>
    <row r="10">
      <c r="A10" s="3" t="n"/>
      <c r="B10" s="3" t="n"/>
      <c r="C10" s="3" t="n"/>
      <c r="D10" s="3" t="n"/>
      <c r="E10" s="3" t="n"/>
      <c r="F10" s="3" t="n"/>
      <c r="G10" s="3" t="n"/>
      <c r="H10" s="3" t="n"/>
      <c r="I10" s="3" t="n"/>
      <c r="J10" s="3" t="n"/>
      <c r="K10" s="3" t="n"/>
      <c r="L10" s="3" t="n"/>
      <c r="M10" s="3" t="n"/>
      <c r="N10" s="3" t="n"/>
      <c r="O10" s="3" t="n"/>
      <c r="P10" s="3" t="n"/>
      <c r="Q10" s="3" t="n"/>
      <c r="R10" s="2" t="n">
        <v>2026</v>
      </c>
      <c r="S10" s="3" t="n"/>
      <c r="T10" s="3" t="n"/>
      <c r="U10" s="3" t="n"/>
      <c r="V10" s="3" t="n"/>
      <c r="W10" s="3" t="n"/>
      <c r="X10" s="3" t="n"/>
      <c r="Y10" s="3" t="n"/>
      <c r="Z10" s="3" t="n"/>
      <c r="AA10" s="3" t="n"/>
      <c r="AB10" s="3" t="n"/>
      <c r="AC10" s="3" t="n"/>
      <c r="AD10" s="3" t="n"/>
      <c r="AE10" s="3" t="n"/>
      <c r="AF10" s="3" t="n"/>
      <c r="AG10" s="3" t="n"/>
      <c r="AH10" s="3" t="n"/>
      <c r="AI10" s="3" t="n"/>
      <c r="AJ10" s="2" t="n">
        <v>2027</v>
      </c>
      <c r="AK10" s="3" t="n"/>
      <c r="AL10" s="3" t="n"/>
      <c r="AM10" s="3" t="n"/>
      <c r="AN10" s="3" t="n"/>
      <c r="AO10" s="3" t="n"/>
      <c r="AP10" s="3" t="n"/>
      <c r="AQ10" s="3" t="n"/>
      <c r="AR10" s="3" t="n"/>
      <c r="AS10" s="3" t="n"/>
      <c r="AT10" s="3" t="n"/>
      <c r="AU10" s="3" t="n"/>
      <c r="AV10" s="3" t="n"/>
      <c r="AW10" s="3" t="n"/>
      <c r="AX10" s="3" t="n"/>
      <c r="AY10" s="3" t="n"/>
      <c r="AZ10" s="3" t="n"/>
      <c r="BA10" s="3" t="n"/>
      <c r="BB10" s="3" t="n"/>
      <c r="BC10" s="3" t="n"/>
      <c r="BD10" s="3" t="n"/>
      <c r="BE10" s="3" t="n"/>
      <c r="BF10" s="3" t="n"/>
      <c r="BG10" s="3" t="n"/>
      <c r="BH10" s="3" t="n"/>
      <c r="BI10" s="3" t="n"/>
      <c r="BJ10" s="3" t="n"/>
      <c r="BK10" s="3" t="n"/>
      <c r="BL10" s="3" t="n"/>
      <c r="BM10" s="3" t="n"/>
      <c r="BN10" s="3" t="n"/>
      <c r="BO10" s="3" t="n"/>
      <c r="BP10" s="3" t="n"/>
      <c r="BQ10" s="3" t="n"/>
      <c r="BR10" s="18" t="n"/>
      <c r="BS10" s="18" t="n"/>
      <c r="BT10" s="18" t="n"/>
      <c r="BU10" s="18" t="n"/>
      <c r="BV10" s="18" t="n"/>
      <c r="BW10" s="18" t="n"/>
      <c r="BX10" s="18" t="n"/>
      <c r="BY10" s="18" t="n"/>
      <c r="BZ10" s="18" t="n"/>
      <c r="CA10" s="18" t="n"/>
      <c r="CB10" s="18" t="n"/>
      <c r="CC10" s="18" t="n"/>
      <c r="CD10" s="18" t="n"/>
      <c r="CE10" s="18" t="n"/>
      <c r="CF10" s="18" t="n"/>
      <c r="CG10" s="18" t="n"/>
      <c r="CH10" s="18" t="n"/>
      <c r="CI10" s="18" t="n"/>
      <c r="CJ10" s="19" t="n">
        <v>2028</v>
      </c>
    </row>
    <row r="11">
      <c r="A11" s="3" t="n"/>
      <c r="B11" s="3" t="n"/>
      <c r="C11" s="3" t="n"/>
      <c r="D11" s="3" t="n"/>
      <c r="E11" s="3" t="n"/>
      <c r="F11" s="3" t="n"/>
      <c r="G11" s="3" t="n"/>
      <c r="H11" s="3" t="n"/>
      <c r="I11" s="3" t="n"/>
      <c r="J11" s="3" t="n"/>
      <c r="K11" s="3" t="n"/>
      <c r="L11" s="3" t="n"/>
      <c r="M11" s="3" t="n"/>
      <c r="N11" s="3" t="n"/>
      <c r="O11" s="3" t="n"/>
      <c r="P11" s="3" t="n"/>
      <c r="Q11" s="3" t="n"/>
      <c r="R11" s="20" t="inlineStr">
        <is>
          <t>Q1</t>
        </is>
      </c>
      <c r="AE11" s="20" t="inlineStr">
        <is>
          <t>Q2</t>
        </is>
      </c>
      <c r="AR11" s="20" t="inlineStr">
        <is>
          <t>Q3</t>
        </is>
      </c>
      <c r="BE11" s="20" t="inlineStr">
        <is>
          <t>Q4</t>
        </is>
      </c>
      <c r="BR11" s="21" t="inlineStr">
        <is>
          <t>FY28 (unfunded at 35% reserve)</t>
        </is>
      </c>
    </row>
    <row r="12">
      <c r="A12" s="3" t="n"/>
      <c r="B12" s="3" t="n"/>
      <c r="C12" s="3" t="n"/>
      <c r="D12" s="3" t="n"/>
      <c r="E12" s="3" t="n"/>
      <c r="F12" s="3" t="n"/>
      <c r="G12" s="3" t="n"/>
      <c r="H12" s="3" t="n"/>
      <c r="I12" s="3" t="n"/>
      <c r="J12" s="3" t="n"/>
      <c r="K12" s="3" t="n"/>
      <c r="L12" s="3" t="n"/>
      <c r="M12" s="3" t="n"/>
      <c r="N12" s="3" t="n"/>
      <c r="O12" s="3" t="n"/>
      <c r="P12" s="3" t="n"/>
      <c r="Q12" s="3" t="n"/>
      <c r="R12" s="2" t="inlineStr">
        <is>
          <t>Sep</t>
        </is>
      </c>
      <c r="S12" s="3" t="n"/>
      <c r="T12" s="3" t="n"/>
      <c r="U12" s="3" t="n"/>
      <c r="V12" s="2" t="inlineStr">
        <is>
          <t>Oct</t>
        </is>
      </c>
      <c r="W12" s="3" t="n"/>
      <c r="X12" s="3" t="n"/>
      <c r="Y12" s="3" t="n"/>
      <c r="Z12" s="3" t="n"/>
      <c r="AA12" s="2" t="inlineStr">
        <is>
          <t>Nov</t>
        </is>
      </c>
      <c r="AB12" s="3" t="n"/>
      <c r="AC12" s="3" t="n"/>
      <c r="AD12" s="3" t="n"/>
      <c r="AE12" s="2" t="inlineStr">
        <is>
          <t>Dec</t>
        </is>
      </c>
      <c r="AF12" s="3" t="n"/>
      <c r="AG12" s="3" t="n"/>
      <c r="AH12" s="3" t="n"/>
      <c r="AI12" s="3" t="n"/>
      <c r="AJ12" s="2" t="inlineStr">
        <is>
          <t>Jan</t>
        </is>
      </c>
      <c r="AK12" s="3" t="n"/>
      <c r="AL12" s="3" t="n"/>
      <c r="AM12" s="3" t="n"/>
      <c r="AN12" s="2" t="inlineStr">
        <is>
          <t>Feb</t>
        </is>
      </c>
      <c r="AO12" s="3" t="n"/>
      <c r="AP12" s="3" t="n"/>
      <c r="AQ12" s="3" t="n"/>
      <c r="AR12" s="2" t="inlineStr">
        <is>
          <t>Mar</t>
        </is>
      </c>
      <c r="AS12" s="3" t="n"/>
      <c r="AT12" s="3" t="n"/>
      <c r="AU12" s="3" t="n"/>
      <c r="AV12" s="2" t="inlineStr">
        <is>
          <t>Apr</t>
        </is>
      </c>
      <c r="AW12" s="3" t="n"/>
      <c r="AX12" s="3" t="n"/>
      <c r="AY12" s="3" t="n"/>
      <c r="AZ12" s="3" t="n"/>
      <c r="BA12" s="2" t="inlineStr">
        <is>
          <t>May</t>
        </is>
      </c>
      <c r="BB12" s="3" t="n"/>
      <c r="BC12" s="3" t="n"/>
      <c r="BD12" s="3" t="n"/>
      <c r="BE12" s="2" t="inlineStr">
        <is>
          <t>Jun</t>
        </is>
      </c>
      <c r="BF12" s="3" t="n"/>
      <c r="BG12" s="3" t="n"/>
      <c r="BH12" s="3" t="n"/>
      <c r="BI12" s="2" t="inlineStr">
        <is>
          <t>Jul</t>
        </is>
      </c>
      <c r="BJ12" s="3" t="n"/>
      <c r="BK12" s="3" t="n"/>
      <c r="BL12" s="3" t="n"/>
      <c r="BM12" s="3" t="n"/>
      <c r="BN12" s="2" t="inlineStr">
        <is>
          <t>Aug</t>
        </is>
      </c>
      <c r="BO12" s="3" t="n"/>
      <c r="BP12" s="3" t="n"/>
      <c r="BQ12" s="3" t="n"/>
      <c r="BR12" s="19" t="inlineStr">
        <is>
          <t>Sep</t>
        </is>
      </c>
      <c r="BS12" s="18" t="n"/>
      <c r="BT12" s="18" t="n"/>
      <c r="BU12" s="18" t="n"/>
      <c r="BV12" s="18" t="n"/>
      <c r="BW12" s="19" t="inlineStr">
        <is>
          <t>Oct</t>
        </is>
      </c>
      <c r="BX12" s="18" t="n"/>
      <c r="BY12" s="18" t="n"/>
      <c r="BZ12" s="18" t="n"/>
      <c r="CA12" s="19" t="inlineStr">
        <is>
          <t>Nov</t>
        </is>
      </c>
      <c r="CB12" s="18" t="n"/>
      <c r="CC12" s="18" t="n"/>
      <c r="CD12" s="18" t="n"/>
      <c r="CE12" s="19" t="inlineStr">
        <is>
          <t>Dec</t>
        </is>
      </c>
      <c r="CF12" s="18" t="n"/>
      <c r="CG12" s="18" t="n"/>
      <c r="CH12" s="18" t="n"/>
      <c r="CI12" s="18" t="n"/>
      <c r="CJ12" s="19" t="inlineStr">
        <is>
          <t>Jan</t>
        </is>
      </c>
    </row>
    <row r="13">
      <c r="A13" s="3" t="n"/>
      <c r="B13" s="3" t="n"/>
      <c r="C13" s="3" t="n"/>
      <c r="D13" s="3" t="n"/>
      <c r="E13" s="3" t="n"/>
      <c r="F13" s="3" t="n"/>
      <c r="G13" s="3" t="n"/>
      <c r="H13" s="3" t="n"/>
      <c r="I13" s="3" t="n"/>
      <c r="J13" s="3" t="n"/>
      <c r="K13" s="3" t="n"/>
      <c r="L13" s="3" t="n"/>
      <c r="M13" s="3" t="n"/>
      <c r="N13" s="3" t="n"/>
      <c r="O13" s="3" t="n"/>
      <c r="P13" s="3" t="n"/>
      <c r="Q13" s="3" t="n"/>
      <c r="R13" s="22" t="inlineStr">
        <is>
          <t>S76</t>
        </is>
      </c>
      <c r="S13" s="23" t="n"/>
      <c r="T13" s="22" t="inlineStr">
        <is>
          <t>S77</t>
        </is>
      </c>
      <c r="U13" s="23" t="n"/>
      <c r="V13" s="22" t="inlineStr">
        <is>
          <t>S78</t>
        </is>
      </c>
      <c r="W13" s="23" t="n"/>
      <c r="X13" s="22" t="inlineStr">
        <is>
          <t>S79</t>
        </is>
      </c>
      <c r="Y13" s="23" t="n"/>
      <c r="Z13" s="22" t="inlineStr">
        <is>
          <t>S80</t>
        </is>
      </c>
      <c r="AA13" s="23" t="n"/>
      <c r="AB13" s="22" t="inlineStr">
        <is>
          <t>S81</t>
        </is>
      </c>
      <c r="AC13" s="23" t="n"/>
      <c r="AD13" s="22" t="inlineStr">
        <is>
          <t>S82</t>
        </is>
      </c>
      <c r="AE13" s="23" t="n"/>
      <c r="AF13" s="22" t="inlineStr">
        <is>
          <t>S83</t>
        </is>
      </c>
      <c r="AG13" s="23" t="n"/>
      <c r="AH13" s="22" t="inlineStr">
        <is>
          <t>S84</t>
        </is>
      </c>
      <c r="AI13" s="23" t="n"/>
      <c r="AJ13" s="22" t="inlineStr">
        <is>
          <t>S85</t>
        </is>
      </c>
      <c r="AK13" s="23" t="n"/>
      <c r="AL13" s="22" t="inlineStr">
        <is>
          <t>S86</t>
        </is>
      </c>
      <c r="AM13" s="23" t="n"/>
      <c r="AN13" s="22" t="inlineStr">
        <is>
          <t>S87</t>
        </is>
      </c>
      <c r="AO13" s="23" t="n"/>
      <c r="AP13" s="22" t="inlineStr">
        <is>
          <t>S88</t>
        </is>
      </c>
      <c r="AQ13" s="23" t="n"/>
      <c r="AR13" s="22" t="inlineStr">
        <is>
          <t>S89</t>
        </is>
      </c>
      <c r="AS13" s="23" t="n"/>
      <c r="AT13" s="22" t="inlineStr">
        <is>
          <t>S90</t>
        </is>
      </c>
      <c r="AU13" s="23" t="n"/>
      <c r="AV13" s="22" t="inlineStr">
        <is>
          <t>S91</t>
        </is>
      </c>
      <c r="AW13" s="23" t="n"/>
      <c r="AX13" s="22" t="inlineStr">
        <is>
          <t>S92</t>
        </is>
      </c>
      <c r="AY13" s="23" t="n"/>
      <c r="AZ13" s="22" t="inlineStr">
        <is>
          <t>S93</t>
        </is>
      </c>
      <c r="BA13" s="23" t="n"/>
      <c r="BB13" s="22" t="inlineStr">
        <is>
          <t>S94</t>
        </is>
      </c>
      <c r="BC13" s="23" t="n"/>
      <c r="BD13" s="22" t="inlineStr">
        <is>
          <t>S95</t>
        </is>
      </c>
      <c r="BE13" s="23" t="n"/>
      <c r="BF13" s="22" t="inlineStr">
        <is>
          <t>S96</t>
        </is>
      </c>
      <c r="BG13" s="23" t="n"/>
      <c r="BH13" s="22" t="inlineStr">
        <is>
          <t>S97</t>
        </is>
      </c>
      <c r="BI13" s="23" t="n"/>
      <c r="BJ13" s="22" t="inlineStr">
        <is>
          <t>S98</t>
        </is>
      </c>
      <c r="BK13" s="23" t="n"/>
      <c r="BL13" s="22" t="inlineStr">
        <is>
          <t>S99</t>
        </is>
      </c>
      <c r="BM13" s="23" t="n"/>
      <c r="BN13" s="22" t="inlineStr">
        <is>
          <t>S100</t>
        </is>
      </c>
      <c r="BO13" s="23" t="n"/>
      <c r="BP13" s="22" t="inlineStr">
        <is>
          <t>S101</t>
        </is>
      </c>
      <c r="BQ13" s="23" t="n"/>
      <c r="BR13" s="24" t="inlineStr">
        <is>
          <t>S102</t>
        </is>
      </c>
      <c r="BS13" s="18" t="n"/>
      <c r="BT13" s="24" t="inlineStr">
        <is>
          <t>S103</t>
        </is>
      </c>
      <c r="BU13" s="18" t="n"/>
      <c r="BV13" s="24" t="inlineStr">
        <is>
          <t>S104</t>
        </is>
      </c>
      <c r="BW13" s="18" t="n"/>
      <c r="BX13" s="24" t="inlineStr">
        <is>
          <t>S105</t>
        </is>
      </c>
      <c r="BY13" s="18" t="n"/>
      <c r="BZ13" s="24" t="inlineStr">
        <is>
          <t>S106</t>
        </is>
      </c>
      <c r="CA13" s="18" t="n"/>
      <c r="CB13" s="24" t="inlineStr">
        <is>
          <t>S107</t>
        </is>
      </c>
      <c r="CC13" s="18" t="n"/>
      <c r="CD13" s="24" t="inlineStr">
        <is>
          <t>S108</t>
        </is>
      </c>
      <c r="CE13" s="18" t="n"/>
      <c r="CF13" s="24" t="inlineStr">
        <is>
          <t>S109</t>
        </is>
      </c>
      <c r="CG13" s="18" t="n"/>
      <c r="CH13" s="24" t="inlineStr">
        <is>
          <t>S110</t>
        </is>
      </c>
      <c r="CI13" s="18" t="n"/>
      <c r="CJ13" s="24" t="inlineStr">
        <is>
          <t>S111</t>
        </is>
      </c>
    </row>
    <row r="14">
      <c r="A14" s="1" t="inlineStr">
        <is>
          <t>Goal</t>
        </is>
      </c>
      <c r="B14" s="1" t="inlineStr">
        <is>
          <t>Product</t>
        </is>
      </c>
      <c r="C14" s="1" t="inlineStr">
        <is>
          <t>Initiative</t>
        </is>
      </c>
      <c r="D14" s="1" t="inlineStr">
        <is>
          <t>Priority</t>
        </is>
      </c>
      <c r="E14" s="1" t="inlineStr">
        <is>
          <t>Quarter</t>
        </is>
      </c>
      <c r="F14" s="1" t="inlineStr">
        <is>
          <t>Status</t>
        </is>
      </c>
      <c r="G14" s="1" t="inlineStr">
        <is>
          <t>Size</t>
        </is>
      </c>
      <c r="H14" s="1" t="inlineStr">
        <is>
          <t>1-Pager</t>
        </is>
      </c>
      <c r="I14" s="1" t="inlineStr">
        <is>
          <t>PRD</t>
        </is>
      </c>
      <c r="J14" s="1" t="inlineStr">
        <is>
          <t>Data</t>
        </is>
      </c>
      <c r="K14" s="1" t="inlineStr">
        <is>
          <t>Design</t>
        </is>
      </c>
      <c r="L14" s="1" t="inlineStr">
        <is>
          <t>Spike</t>
        </is>
      </c>
      <c r="M14" s="1" t="inlineStr">
        <is>
          <t>BE</t>
        </is>
      </c>
      <c r="N14" s="1" t="inlineStr">
        <is>
          <t>UI</t>
        </is>
      </c>
      <c r="O14" s="1" t="inlineStr">
        <is>
          <t>QA</t>
        </is>
      </c>
      <c r="P14" s="1" t="inlineStr">
        <is>
          <t>Team</t>
        </is>
      </c>
      <c r="Q14" s="1" t="inlineStr">
        <is>
          <t>FTE</t>
        </is>
      </c>
      <c r="R14" s="25" t="n">
        <v>36</v>
      </c>
      <c r="S14" s="25" t="n">
        <v>37</v>
      </c>
      <c r="T14" s="25" t="n">
        <v>38</v>
      </c>
      <c r="U14" s="25" t="n">
        <v>39</v>
      </c>
      <c r="V14" s="25" t="n">
        <v>40</v>
      </c>
      <c r="W14" s="25" t="n">
        <v>41</v>
      </c>
      <c r="X14" s="25" t="n">
        <v>42</v>
      </c>
      <c r="Y14" s="25" t="n">
        <v>43</v>
      </c>
      <c r="Z14" s="25" t="n">
        <v>44</v>
      </c>
      <c r="AA14" s="25" t="n">
        <v>45</v>
      </c>
      <c r="AB14" s="25" t="n">
        <v>46</v>
      </c>
      <c r="AC14" s="25" t="n">
        <v>47</v>
      </c>
      <c r="AD14" s="25" t="n">
        <v>48</v>
      </c>
      <c r="AE14" s="25" t="n">
        <v>49</v>
      </c>
      <c r="AF14" s="25" t="n">
        <v>50</v>
      </c>
      <c r="AG14" s="25" t="n">
        <v>51</v>
      </c>
      <c r="AH14" s="25" t="n">
        <v>52</v>
      </c>
      <c r="AI14" s="25" t="n">
        <v>53</v>
      </c>
      <c r="AJ14" s="25" t="n">
        <v>1</v>
      </c>
      <c r="AK14" s="25" t="n">
        <v>2</v>
      </c>
      <c r="AL14" s="25" t="n">
        <v>3</v>
      </c>
      <c r="AM14" s="25" t="n">
        <v>4</v>
      </c>
      <c r="AN14" s="25" t="n">
        <v>5</v>
      </c>
      <c r="AO14" s="25" t="n">
        <v>6</v>
      </c>
      <c r="AP14" s="25" t="n">
        <v>7</v>
      </c>
      <c r="AQ14" s="25" t="n">
        <v>8</v>
      </c>
      <c r="AR14" s="25" t="n">
        <v>9</v>
      </c>
      <c r="AS14" s="25" t="n">
        <v>10</v>
      </c>
      <c r="AT14" s="25" t="n">
        <v>11</v>
      </c>
      <c r="AU14" s="25" t="n">
        <v>12</v>
      </c>
      <c r="AV14" s="25" t="n">
        <v>13</v>
      </c>
      <c r="AW14" s="25" t="n">
        <v>14</v>
      </c>
      <c r="AX14" s="25" t="n">
        <v>15</v>
      </c>
      <c r="AY14" s="25" t="n">
        <v>16</v>
      </c>
      <c r="AZ14" s="25" t="n">
        <v>17</v>
      </c>
      <c r="BA14" s="25" t="n">
        <v>18</v>
      </c>
      <c r="BB14" s="25" t="n">
        <v>19</v>
      </c>
      <c r="BC14" s="25" t="n">
        <v>20</v>
      </c>
      <c r="BD14" s="25" t="n">
        <v>21</v>
      </c>
      <c r="BE14" s="25" t="n">
        <v>22</v>
      </c>
      <c r="BF14" s="25" t="n">
        <v>23</v>
      </c>
      <c r="BG14" s="25" t="n">
        <v>24</v>
      </c>
      <c r="BH14" s="25" t="n">
        <v>25</v>
      </c>
      <c r="BI14" s="25" t="n">
        <v>26</v>
      </c>
      <c r="BJ14" s="25" t="n">
        <v>27</v>
      </c>
      <c r="BK14" s="25" t="n">
        <v>28</v>
      </c>
      <c r="BL14" s="25" t="n">
        <v>29</v>
      </c>
      <c r="BM14" s="25" t="n">
        <v>30</v>
      </c>
      <c r="BN14" s="25" t="n">
        <v>31</v>
      </c>
      <c r="BO14" s="25" t="n">
        <v>32</v>
      </c>
      <c r="BP14" s="25" t="n">
        <v>33</v>
      </c>
      <c r="BQ14" s="25" t="n">
        <v>34</v>
      </c>
      <c r="BR14" s="26" t="n">
        <v>35</v>
      </c>
      <c r="BS14" s="26" t="n">
        <v>36</v>
      </c>
      <c r="BT14" s="26" t="n">
        <v>37</v>
      </c>
      <c r="BU14" s="26" t="n">
        <v>38</v>
      </c>
      <c r="BV14" s="26" t="n">
        <v>39</v>
      </c>
      <c r="BW14" s="26" t="n">
        <v>40</v>
      </c>
      <c r="BX14" s="26" t="n">
        <v>41</v>
      </c>
      <c r="BY14" s="26" t="n">
        <v>42</v>
      </c>
      <c r="BZ14" s="26" t="n">
        <v>43</v>
      </c>
      <c r="CA14" s="26" t="n">
        <v>44</v>
      </c>
      <c r="CB14" s="26" t="n">
        <v>45</v>
      </c>
      <c r="CC14" s="26" t="n">
        <v>46</v>
      </c>
      <c r="CD14" s="26" t="n">
        <v>47</v>
      </c>
      <c r="CE14" s="26" t="n">
        <v>48</v>
      </c>
      <c r="CF14" s="26" t="n">
        <v>49</v>
      </c>
      <c r="CG14" s="26" t="n">
        <v>50</v>
      </c>
      <c r="CH14" s="26" t="n">
        <v>51</v>
      </c>
      <c r="CI14" s="26" t="n">
        <v>52</v>
      </c>
      <c r="CJ14" s="26" t="n">
        <v>1</v>
      </c>
    </row>
    <row r="15">
      <c r="A15" s="27" t="inlineStr">
        <is>
          <t>FY26 carry-over</t>
        </is>
      </c>
      <c r="B15" s="28" t="inlineStr">
        <is>
          <t>MTU</t>
        </is>
      </c>
      <c r="C15" s="29" t="inlineStr">
        <is>
          <t>Subscription: BLS promos specific for subscriptions</t>
        </is>
      </c>
      <c r="D15" s="28" t="n"/>
      <c r="E15" s="28" t="inlineStr">
        <is>
          <t>Q1</t>
        </is>
      </c>
      <c r="F15" s="28" t="inlineStr">
        <is>
          <t>In progress</t>
        </is>
      </c>
      <c r="G15" s="28" t="inlineStr">
        <is>
          <t>S</t>
        </is>
      </c>
      <c r="H15" s="28" t="n"/>
      <c r="I15" s="28" t="n"/>
      <c r="J15" s="28" t="n"/>
      <c r="K15" s="28" t="n"/>
      <c r="L15" s="28" t="n"/>
      <c r="M15" s="28" t="n"/>
      <c r="N15" s="28" t="n"/>
      <c r="O15" s="28" t="n"/>
      <c r="P15" s="28" t="inlineStr">
        <is>
          <t>BE</t>
        </is>
      </c>
      <c r="Q15" s="28" t="n">
        <v>1</v>
      </c>
      <c r="R15" s="30" t="inlineStr">
        <is>
          <t>BE</t>
        </is>
      </c>
      <c r="S15" s="14" t="n"/>
    </row>
    <row r="16">
      <c r="A16" s="31" t="n"/>
      <c r="B16" s="31" t="n"/>
      <c r="C16" s="31" t="n"/>
      <c r="D16" s="31" t="n"/>
      <c r="E16" s="31" t="n"/>
      <c r="F16" s="31" t="n"/>
      <c r="G16" s="31" t="n"/>
      <c r="H16" s="31" t="n"/>
      <c r="I16" s="31" t="n"/>
      <c r="J16" s="31" t="n"/>
      <c r="K16" s="31" t="n"/>
      <c r="L16" s="31" t="n"/>
      <c r="M16" s="31" t="n"/>
      <c r="N16" s="31" t="n"/>
      <c r="O16" s="31" t="n"/>
      <c r="P16" s="31" t="inlineStr">
        <is>
          <t>App</t>
        </is>
      </c>
      <c r="Q16" s="31" t="n">
        <v>1</v>
      </c>
      <c r="T16" s="32" t="inlineStr">
        <is>
          <t>App</t>
        </is>
      </c>
      <c r="U16" s="15" t="n"/>
    </row>
    <row r="17">
      <c r="A17" s="31" t="n"/>
      <c r="B17" s="31" t="n"/>
      <c r="C17" s="31" t="n"/>
      <c r="D17" s="31" t="n"/>
      <c r="E17" s="31" t="n"/>
      <c r="F17" s="31" t="n"/>
      <c r="G17" s="31" t="n"/>
      <c r="H17" s="31" t="n"/>
      <c r="I17" s="31" t="n"/>
      <c r="J17" s="31" t="n"/>
      <c r="K17" s="31" t="n"/>
      <c r="L17" s="31" t="n"/>
      <c r="M17" s="31" t="n"/>
      <c r="N17" s="31" t="n"/>
      <c r="O17" s="31" t="n"/>
      <c r="P17" s="31" t="inlineStr">
        <is>
          <t>QA</t>
        </is>
      </c>
      <c r="Q17" s="31" t="n">
        <v>1</v>
      </c>
      <c r="V17" s="33" t="inlineStr">
        <is>
          <t>QA</t>
        </is>
      </c>
      <c r="W17" s="16" t="n"/>
    </row>
    <row r="18">
      <c r="A18" s="27" t="inlineStr">
        <is>
          <t>FY26 carry-over</t>
        </is>
      </c>
      <c r="B18" s="28" t="inlineStr">
        <is>
          <t>MTU</t>
        </is>
      </c>
      <c r="C18" s="29" t="inlineStr">
        <is>
          <t>Redesign MTU Home Page (cross-sell) rollout</t>
        </is>
      </c>
      <c r="D18" s="28" t="n"/>
      <c r="E18" s="28" t="inlineStr">
        <is>
          <t>Q1</t>
        </is>
      </c>
      <c r="F18" s="28" t="inlineStr">
        <is>
          <t>In progress</t>
        </is>
      </c>
      <c r="G18" s="28" t="inlineStr">
        <is>
          <t>S</t>
        </is>
      </c>
      <c r="H18" s="28" t="n"/>
      <c r="I18" s="28" t="n"/>
      <c r="J18" s="28" t="n"/>
      <c r="K18" s="28" t="n"/>
      <c r="L18" s="28" t="n"/>
      <c r="M18" s="28" t="n"/>
      <c r="N18" s="28" t="n"/>
      <c r="O18" s="28" t="n"/>
      <c r="P18" s="28" t="inlineStr">
        <is>
          <t>BE</t>
        </is>
      </c>
      <c r="Q18" s="28" t="n"/>
    </row>
    <row r="19">
      <c r="A19" s="31" t="n"/>
      <c r="B19" s="31" t="n"/>
      <c r="C19" s="31" t="n"/>
      <c r="D19" s="31" t="n"/>
      <c r="E19" s="31" t="n"/>
      <c r="F19" s="31" t="n"/>
      <c r="G19" s="31" t="n"/>
      <c r="H19" s="31" t="n"/>
      <c r="I19" s="31" t="n"/>
      <c r="J19" s="31" t="n"/>
      <c r="K19" s="31" t="n"/>
      <c r="L19" s="31" t="n"/>
      <c r="M19" s="31" t="n"/>
      <c r="N19" s="31" t="n"/>
      <c r="O19" s="31" t="n"/>
      <c r="P19" s="31" t="inlineStr">
        <is>
          <t>App</t>
        </is>
      </c>
      <c r="Q19" s="31" t="n">
        <v>1</v>
      </c>
      <c r="R19" s="32" t="inlineStr">
        <is>
          <t>App</t>
        </is>
      </c>
      <c r="S19" s="15" t="n"/>
    </row>
    <row r="20">
      <c r="A20" s="31" t="n"/>
      <c r="B20" s="31" t="n"/>
      <c r="C20" s="31" t="n"/>
      <c r="D20" s="31" t="n"/>
      <c r="E20" s="31" t="n"/>
      <c r="F20" s="31" t="n"/>
      <c r="G20" s="31" t="n"/>
      <c r="H20" s="31" t="n"/>
      <c r="I20" s="31" t="n"/>
      <c r="J20" s="31" t="n"/>
      <c r="K20" s="31" t="n"/>
      <c r="L20" s="31" t="n"/>
      <c r="M20" s="31" t="n"/>
      <c r="N20" s="31" t="n"/>
      <c r="O20" s="31" t="n"/>
      <c r="P20" s="31" t="inlineStr">
        <is>
          <t>QA</t>
        </is>
      </c>
      <c r="Q20" s="31" t="n">
        <v>1</v>
      </c>
      <c r="T20" s="33" t="inlineStr">
        <is>
          <t>QA</t>
        </is>
      </c>
      <c r="U20" s="16" t="n"/>
    </row>
    <row r="21">
      <c r="A21" s="27" t="inlineStr">
        <is>
          <t>FY26 carry-over</t>
        </is>
      </c>
      <c r="B21" s="28" t="inlineStr">
        <is>
          <t>All Products</t>
        </is>
      </c>
      <c r="C21" s="29" t="inlineStr">
        <is>
          <t>Cross Sell: success page expiring x-sell deal</t>
        </is>
      </c>
      <c r="D21" s="28" t="n"/>
      <c r="E21" s="28" t="inlineStr">
        <is>
          <t>Q1</t>
        </is>
      </c>
      <c r="F21" s="28" t="inlineStr">
        <is>
          <t>In progress</t>
        </is>
      </c>
      <c r="G21" s="28" t="inlineStr">
        <is>
          <t>S</t>
        </is>
      </c>
      <c r="H21" s="28" t="n"/>
      <c r="I21" s="28" t="n"/>
      <c r="J21" s="28" t="n"/>
      <c r="K21" s="28" t="n"/>
      <c r="L21" s="28" t="n"/>
      <c r="M21" s="28" t="n"/>
      <c r="N21" s="28" t="n"/>
      <c r="O21" s="28" t="n"/>
      <c r="P21" s="28" t="inlineStr">
        <is>
          <t>BE</t>
        </is>
      </c>
      <c r="Q21" s="28" t="n"/>
    </row>
    <row r="22">
      <c r="A22" s="31" t="n"/>
      <c r="B22" s="31" t="n"/>
      <c r="C22" s="31" t="n"/>
      <c r="D22" s="31" t="n"/>
      <c r="E22" s="31" t="n"/>
      <c r="F22" s="31" t="n"/>
      <c r="G22" s="31" t="n"/>
      <c r="H22" s="31" t="n"/>
      <c r="I22" s="31" t="n"/>
      <c r="J22" s="31" t="n"/>
      <c r="K22" s="31" t="n"/>
      <c r="L22" s="31" t="n"/>
      <c r="M22" s="31" t="n"/>
      <c r="N22" s="31" t="n"/>
      <c r="O22" s="31" t="n"/>
      <c r="P22" s="31" t="inlineStr">
        <is>
          <t>App</t>
        </is>
      </c>
      <c r="Q22" s="31" t="n">
        <v>1</v>
      </c>
      <c r="T22" s="32" t="inlineStr">
        <is>
          <t>App</t>
        </is>
      </c>
    </row>
    <row r="23">
      <c r="A23" s="31" t="n"/>
      <c r="B23" s="31" t="n"/>
      <c r="C23" s="31" t="n"/>
      <c r="D23" s="31" t="n"/>
      <c r="E23" s="31" t="n"/>
      <c r="F23" s="31" t="n"/>
      <c r="G23" s="31" t="n"/>
      <c r="H23" s="31" t="n"/>
      <c r="I23" s="31" t="n"/>
      <c r="J23" s="31" t="n"/>
      <c r="K23" s="31" t="n"/>
      <c r="L23" s="31" t="n"/>
      <c r="M23" s="31" t="n"/>
      <c r="N23" s="31" t="n"/>
      <c r="O23" s="31" t="n"/>
      <c r="P23" s="31" t="inlineStr">
        <is>
          <t>QA</t>
        </is>
      </c>
      <c r="Q23" s="31" t="n">
        <v>1</v>
      </c>
      <c r="V23" s="33" t="inlineStr">
        <is>
          <t>QA</t>
        </is>
      </c>
    </row>
    <row r="24">
      <c r="A24" s="27" t="inlineStr">
        <is>
          <t>FY26 carry-over</t>
        </is>
      </c>
      <c r="B24" s="28" t="inlineStr">
        <is>
          <t>MTU</t>
        </is>
      </c>
      <c r="C24" s="29" t="inlineStr">
        <is>
          <t>Improve BE and APP errors presented to users</t>
        </is>
      </c>
      <c r="D24" s="28" t="n"/>
      <c r="E24" s="28" t="inlineStr">
        <is>
          <t>Q1</t>
        </is>
      </c>
      <c r="F24" s="28" t="inlineStr">
        <is>
          <t>In progress</t>
        </is>
      </c>
      <c r="G24" s="28" t="inlineStr">
        <is>
          <t>S</t>
        </is>
      </c>
      <c r="H24" s="28" t="n"/>
      <c r="I24" s="28" t="n"/>
      <c r="J24" s="28" t="n"/>
      <c r="K24" s="28" t="n"/>
      <c r="L24" s="28" t="n"/>
      <c r="M24" s="28" t="n"/>
      <c r="N24" s="28" t="n"/>
      <c r="O24" s="28" t="n"/>
      <c r="P24" s="28" t="inlineStr">
        <is>
          <t>BE</t>
        </is>
      </c>
      <c r="Q24" s="28" t="n">
        <v>1</v>
      </c>
      <c r="R24" s="30" t="inlineStr">
        <is>
          <t>BE</t>
        </is>
      </c>
      <c r="S24" s="14" t="n"/>
    </row>
    <row r="25">
      <c r="A25" s="31" t="n"/>
      <c r="B25" s="31" t="n"/>
      <c r="C25" s="31" t="n"/>
      <c r="D25" s="31" t="n"/>
      <c r="E25" s="31" t="n"/>
      <c r="F25" s="31" t="n"/>
      <c r="G25" s="31" t="n"/>
      <c r="H25" s="31" t="n"/>
      <c r="I25" s="31" t="n"/>
      <c r="J25" s="31" t="n"/>
      <c r="K25" s="31" t="n"/>
      <c r="L25" s="31" t="n"/>
      <c r="M25" s="31" t="n"/>
      <c r="N25" s="31" t="n"/>
      <c r="O25" s="31" t="n"/>
      <c r="P25" s="31" t="inlineStr">
        <is>
          <t>App</t>
        </is>
      </c>
      <c r="Q25" s="31" t="n">
        <v>1</v>
      </c>
      <c r="U25" s="32" t="inlineStr">
        <is>
          <t>App</t>
        </is>
      </c>
      <c r="V25" s="15" t="n"/>
    </row>
    <row r="26">
      <c r="A26" s="31" t="n"/>
      <c r="B26" s="31" t="n"/>
      <c r="C26" s="31" t="n"/>
      <c r="D26" s="31" t="n"/>
      <c r="E26" s="31" t="n"/>
      <c r="F26" s="31" t="n"/>
      <c r="G26" s="31" t="n"/>
      <c r="H26" s="31" t="n"/>
      <c r="I26" s="31" t="n"/>
      <c r="J26" s="31" t="n"/>
      <c r="K26" s="31" t="n"/>
      <c r="L26" s="31" t="n"/>
      <c r="M26" s="31" t="n"/>
      <c r="N26" s="31" t="n"/>
      <c r="O26" s="31" t="n"/>
      <c r="P26" s="31" t="inlineStr">
        <is>
          <t>QA</t>
        </is>
      </c>
      <c r="Q26" s="31" t="n">
        <v>1</v>
      </c>
      <c r="W26" s="33" t="inlineStr">
        <is>
          <t>QA</t>
        </is>
      </c>
    </row>
    <row r="27">
      <c r="A27" s="28" t="inlineStr">
        <is>
          <t>Business Goal</t>
        </is>
      </c>
      <c r="B27" s="28" t="inlineStr">
        <is>
          <t>MTU</t>
        </is>
      </c>
      <c r="C27" s="34" t="inlineStr">
        <is>
          <t>#1 Integrate MTU transaction flow to Terminus</t>
        </is>
      </c>
      <c r="D27" s="28" t="inlineStr">
        <is>
          <t>High</t>
        </is>
      </c>
      <c r="E27" s="28" t="inlineStr">
        <is>
          <t>Q1</t>
        </is>
      </c>
      <c r="F27" s="28" t="inlineStr">
        <is>
          <t>Carry over</t>
        </is>
      </c>
      <c r="G27" s="28" t="inlineStr">
        <is>
          <t>M</t>
        </is>
      </c>
      <c r="H27" s="28" t="inlineStr">
        <is>
          <t>-</t>
        </is>
      </c>
      <c r="I27" s="28" t="inlineStr">
        <is>
          <t>-</t>
        </is>
      </c>
      <c r="J27" s="28" t="inlineStr">
        <is>
          <t>-</t>
        </is>
      </c>
      <c r="K27" s="28" t="inlineStr">
        <is>
          <t>-</t>
        </is>
      </c>
      <c r="L27" s="28" t="inlineStr">
        <is>
          <t>-</t>
        </is>
      </c>
      <c r="M27" s="28" t="inlineStr">
        <is>
          <t>-</t>
        </is>
      </c>
      <c r="N27" s="28" t="inlineStr">
        <is>
          <t>-</t>
        </is>
      </c>
      <c r="O27" s="28" t="inlineStr">
        <is>
          <t>-</t>
        </is>
      </c>
      <c r="P27" s="28" t="inlineStr">
        <is>
          <t>PM</t>
        </is>
      </c>
      <c r="Q27" s="28" t="n"/>
      <c r="R27" s="35" t="n"/>
      <c r="T27" s="35" t="n"/>
      <c r="V27" s="35" t="n"/>
      <c r="X27" s="35" t="n"/>
      <c r="Z27" s="35" t="n"/>
      <c r="AB27" s="35" t="n"/>
      <c r="AD27" s="35" t="n"/>
      <c r="AF27" s="35" t="n"/>
      <c r="AH27" s="35" t="n"/>
      <c r="AJ27" s="35" t="n"/>
      <c r="AL27" s="35" t="n"/>
      <c r="AN27" s="35" t="n"/>
      <c r="AP27" s="35" t="n"/>
      <c r="AR27" s="35" t="n"/>
      <c r="AT27" s="35" t="n"/>
      <c r="AV27" s="35" t="n"/>
      <c r="AX27" s="35" t="n"/>
      <c r="AZ27" s="35" t="n"/>
      <c r="BB27" s="35" t="n"/>
      <c r="BD27" s="35" t="n"/>
      <c r="BF27" s="35" t="n"/>
      <c r="BH27" s="35" t="n"/>
      <c r="BJ27" s="35" t="n"/>
      <c r="BL27" s="35" t="n"/>
      <c r="BN27" s="35" t="n"/>
      <c r="BP27" s="35" t="n"/>
      <c r="BR27" s="36" t="n"/>
      <c r="BT27" s="35" t="n"/>
      <c r="BV27" s="35" t="n"/>
      <c r="BX27" s="35" t="n"/>
      <c r="BZ27" s="35" t="n"/>
      <c r="CB27" s="35" t="n"/>
      <c r="CD27" s="35" t="n"/>
      <c r="CF27" s="35" t="n"/>
      <c r="CH27" s="35" t="n"/>
      <c r="CJ27" s="35" t="n"/>
    </row>
    <row r="28">
      <c r="A28" s="31" t="n"/>
      <c r="B28" s="31" t="n"/>
      <c r="C28" s="37" t="inlineStr">
        <is>
          <t>14 Sep 2026 to 18 Oct 2026</t>
        </is>
      </c>
      <c r="D28" s="31" t="n"/>
      <c r="E28" s="31" t="n"/>
      <c r="F28" s="31" t="n"/>
      <c r="G28" s="31" t="n"/>
      <c r="H28" s="31" t="n"/>
      <c r="I28" s="31" t="n"/>
      <c r="J28" s="31" t="n"/>
      <c r="K28" s="31" t="n"/>
      <c r="L28" s="31" t="n"/>
      <c r="M28" s="31" t="n"/>
      <c r="N28" s="31" t="n"/>
      <c r="O28" s="31" t="n"/>
      <c r="P28" s="31" t="inlineStr">
        <is>
          <t>Dsgn</t>
        </is>
      </c>
      <c r="Q28" s="31" t="n"/>
      <c r="R28" s="38" t="n"/>
      <c r="T28" s="38" t="n"/>
      <c r="V28" s="38" t="n"/>
      <c r="X28" s="38" t="n"/>
      <c r="Z28" s="38" t="n"/>
      <c r="AB28" s="38" t="n"/>
      <c r="AD28" s="38" t="n"/>
      <c r="AF28" s="38" t="n"/>
      <c r="AH28" s="38" t="n"/>
      <c r="AJ28" s="38" t="n"/>
      <c r="AL28" s="38" t="n"/>
      <c r="AN28" s="38" t="n"/>
      <c r="AP28" s="38" t="n"/>
      <c r="AR28" s="38" t="n"/>
      <c r="AT28" s="38" t="n"/>
      <c r="AV28" s="38" t="n"/>
      <c r="AX28" s="38" t="n"/>
      <c r="AZ28" s="38" t="n"/>
      <c r="BB28" s="38" t="n"/>
      <c r="BD28" s="38" t="n"/>
      <c r="BF28" s="38" t="n"/>
      <c r="BH28" s="38" t="n"/>
      <c r="BJ28" s="38" t="n"/>
      <c r="BL28" s="38" t="n"/>
      <c r="BN28" s="38" t="n"/>
      <c r="BP28" s="38" t="n"/>
      <c r="BR28" s="39" t="n"/>
      <c r="BT28" s="38" t="n"/>
      <c r="BV28" s="38" t="n"/>
      <c r="BX28" s="38" t="n"/>
      <c r="BZ28" s="38" t="n"/>
      <c r="CB28" s="38" t="n"/>
      <c r="CD28" s="38" t="n"/>
      <c r="CF28" s="38" t="n"/>
      <c r="CH28" s="38" t="n"/>
      <c r="CJ28" s="38" t="n"/>
    </row>
    <row r="29">
      <c r="A29" s="31" t="n"/>
      <c r="B29" s="31" t="n"/>
      <c r="C29" s="40" t="inlineStr">
        <is>
          <t>BE M (1 FTE spr) · App - (0 FTE spr) · Design -</t>
        </is>
      </c>
      <c r="D29" s="31" t="n"/>
      <c r="E29" s="31" t="n"/>
      <c r="F29" s="31" t="n"/>
      <c r="G29" s="31" t="n"/>
      <c r="H29" s="31" t="n"/>
      <c r="I29" s="31" t="n"/>
      <c r="J29" s="31" t="n"/>
      <c r="K29" s="31" t="n"/>
      <c r="L29" s="31" t="n"/>
      <c r="M29" s="31" t="n"/>
      <c r="N29" s="31" t="n"/>
      <c r="O29" s="31" t="n"/>
      <c r="P29" s="31" t="inlineStr">
        <is>
          <t>TPM</t>
        </is>
      </c>
      <c r="Q29" s="31" t="n"/>
      <c r="R29" s="38" t="n"/>
      <c r="T29" s="38" t="n"/>
      <c r="V29" s="38" t="n"/>
      <c r="X29" s="38" t="n"/>
      <c r="Z29" s="38" t="n"/>
      <c r="AB29" s="38" t="n"/>
      <c r="AD29" s="38" t="n"/>
      <c r="AF29" s="38" t="n"/>
      <c r="AH29" s="38" t="n"/>
      <c r="AJ29" s="38" t="n"/>
      <c r="AL29" s="38" t="n"/>
      <c r="AN29" s="38" t="n"/>
      <c r="AP29" s="38" t="n"/>
      <c r="AR29" s="38" t="n"/>
      <c r="AT29" s="38" t="n"/>
      <c r="AV29" s="38" t="n"/>
      <c r="AX29" s="38" t="n"/>
      <c r="AZ29" s="38" t="n"/>
      <c r="BB29" s="38" t="n"/>
      <c r="BD29" s="38" t="n"/>
      <c r="BF29" s="38" t="n"/>
      <c r="BH29" s="38" t="n"/>
      <c r="BJ29" s="38" t="n"/>
      <c r="BL29" s="38" t="n"/>
      <c r="BN29" s="38" t="n"/>
      <c r="BP29" s="38" t="n"/>
      <c r="BR29" s="39" t="n"/>
      <c r="BT29" s="38" t="n"/>
      <c r="BV29" s="38" t="n"/>
      <c r="BX29" s="38" t="n"/>
      <c r="BZ29" s="38" t="n"/>
      <c r="CB29" s="38" t="n"/>
      <c r="CD29" s="38" t="n"/>
      <c r="CF29" s="38" t="n"/>
      <c r="CH29" s="38" t="n"/>
      <c r="CJ29" s="38" t="n"/>
    </row>
    <row r="30">
      <c r="A30" s="31" t="n"/>
      <c r="B30" s="31" t="n"/>
      <c r="C30" s="41">
        <f>HYPERLINK("https://app.asana.com/1/8556634603607/project/1215564565348002/task/1215923982536887","Asana task")</f>
        <v/>
      </c>
      <c r="D30" s="31" t="n"/>
      <c r="E30" s="31" t="n"/>
      <c r="F30" s="31" t="n"/>
      <c r="G30" s="31" t="n"/>
      <c r="H30" s="31" t="n"/>
      <c r="I30" s="31" t="n"/>
      <c r="J30" s="31" t="n"/>
      <c r="K30" s="31" t="n"/>
      <c r="L30" s="31" t="n"/>
      <c r="M30" s="31" t="n"/>
      <c r="N30" s="31" t="n"/>
      <c r="O30" s="31" t="n"/>
      <c r="P30" s="31" t="inlineStr">
        <is>
          <t>BE</t>
        </is>
      </c>
      <c r="Q30" s="31" t="n">
        <v>1</v>
      </c>
      <c r="R30" s="38" t="n"/>
      <c r="T30" s="42" t="inlineStr">
        <is>
          <t>BE</t>
        </is>
      </c>
      <c r="U30" s="14" t="n"/>
      <c r="V30" s="38" t="n"/>
      <c r="X30" s="38" t="n"/>
      <c r="Z30" s="38" t="n"/>
      <c r="AB30" s="38" t="n"/>
      <c r="AD30" s="38" t="n"/>
      <c r="AF30" s="38" t="n"/>
      <c r="AH30" s="38" t="n"/>
      <c r="AJ30" s="38" t="n"/>
      <c r="AL30" s="38" t="n"/>
      <c r="AN30" s="38" t="n"/>
      <c r="AP30" s="38" t="n"/>
      <c r="AR30" s="38" t="n"/>
      <c r="AT30" s="38" t="n"/>
      <c r="AV30" s="38" t="n"/>
      <c r="AX30" s="38" t="n"/>
      <c r="AZ30" s="38" t="n"/>
      <c r="BB30" s="38" t="n"/>
      <c r="BD30" s="38" t="n"/>
      <c r="BF30" s="38" t="n"/>
      <c r="BH30" s="38" t="n"/>
      <c r="BJ30" s="38" t="n"/>
      <c r="BL30" s="38" t="n"/>
      <c r="BN30" s="38" t="n"/>
      <c r="BP30" s="38" t="n"/>
      <c r="BR30" s="39" t="n"/>
      <c r="BT30" s="38" t="n"/>
      <c r="BV30" s="38" t="n"/>
      <c r="BX30" s="38" t="n"/>
      <c r="BZ30" s="38" t="n"/>
      <c r="CB30" s="38" t="n"/>
      <c r="CD30" s="38" t="n"/>
      <c r="CF30" s="38" t="n"/>
      <c r="CH30" s="38" t="n"/>
      <c r="CJ30" s="38" t="n"/>
    </row>
    <row r="31">
      <c r="A31" s="31" t="n"/>
      <c r="B31" s="31" t="n"/>
      <c r="C31" s="31" t="n"/>
      <c r="D31" s="31" t="n"/>
      <c r="E31" s="31" t="n"/>
      <c r="F31" s="31" t="n"/>
      <c r="G31" s="31" t="n"/>
      <c r="H31" s="31" t="n"/>
      <c r="I31" s="31" t="n"/>
      <c r="J31" s="31" t="n"/>
      <c r="K31" s="31" t="n"/>
      <c r="L31" s="31" t="n"/>
      <c r="M31" s="31" t="n"/>
      <c r="N31" s="31" t="n"/>
      <c r="O31" s="31" t="n"/>
      <c r="P31" s="31" t="inlineStr">
        <is>
          <t>App</t>
        </is>
      </c>
      <c r="Q31" s="31" t="n"/>
      <c r="R31" s="38" t="n"/>
      <c r="T31" s="38" t="n"/>
      <c r="V31" s="38" t="n"/>
      <c r="X31" s="38" t="n"/>
      <c r="Z31" s="38" t="n"/>
      <c r="AB31" s="38" t="n"/>
      <c r="AD31" s="38" t="n"/>
      <c r="AF31" s="38" t="n"/>
      <c r="AH31" s="38" t="n"/>
      <c r="AJ31" s="38" t="n"/>
      <c r="AL31" s="38" t="n"/>
      <c r="AN31" s="38" t="n"/>
      <c r="AP31" s="38" t="n"/>
      <c r="AR31" s="38" t="n"/>
      <c r="AT31" s="38" t="n"/>
      <c r="AV31" s="38" t="n"/>
      <c r="AX31" s="38" t="n"/>
      <c r="AZ31" s="38" t="n"/>
      <c r="BB31" s="38" t="n"/>
      <c r="BD31" s="38" t="n"/>
      <c r="BF31" s="38" t="n"/>
      <c r="BH31" s="38" t="n"/>
      <c r="BJ31" s="38" t="n"/>
      <c r="BL31" s="38" t="n"/>
      <c r="BN31" s="38" t="n"/>
      <c r="BP31" s="38" t="n"/>
      <c r="BR31" s="39" t="n"/>
      <c r="BT31" s="38" t="n"/>
      <c r="BV31" s="38" t="n"/>
      <c r="BX31" s="38" t="n"/>
      <c r="BZ31" s="38" t="n"/>
      <c r="CB31" s="38" t="n"/>
      <c r="CD31" s="38" t="n"/>
      <c r="CF31" s="38" t="n"/>
      <c r="CH31" s="38" t="n"/>
      <c r="CJ31" s="38" t="n"/>
    </row>
    <row r="32">
      <c r="A32" s="31" t="n"/>
      <c r="B32" s="31" t="n"/>
      <c r="C32" s="31" t="n"/>
      <c r="D32" s="31" t="n"/>
      <c r="E32" s="31" t="n"/>
      <c r="F32" s="31" t="n"/>
      <c r="G32" s="31" t="n"/>
      <c r="H32" s="31" t="n"/>
      <c r="I32" s="31" t="n"/>
      <c r="J32" s="31" t="n"/>
      <c r="K32" s="31" t="n"/>
      <c r="L32" s="31" t="n"/>
      <c r="M32" s="31" t="n"/>
      <c r="N32" s="31" t="n"/>
      <c r="O32" s="31" t="n"/>
      <c r="P32" s="31" t="inlineStr">
        <is>
          <t>QA</t>
        </is>
      </c>
      <c r="Q32" s="31" t="inlineStr"/>
      <c r="R32" s="38" t="n"/>
      <c r="T32" s="38" t="n"/>
      <c r="V32" s="38" t="n"/>
      <c r="X32" s="43" t="inlineStr">
        <is>
          <t>QA</t>
        </is>
      </c>
      <c r="Z32" s="38" t="n"/>
      <c r="AB32" s="38" t="n"/>
      <c r="AD32" s="38" t="n"/>
      <c r="AF32" s="38" t="n"/>
      <c r="AH32" s="38" t="n"/>
      <c r="AJ32" s="38" t="n"/>
      <c r="AL32" s="38" t="n"/>
      <c r="AN32" s="38" t="n"/>
      <c r="AP32" s="38" t="n"/>
      <c r="AR32" s="38" t="n"/>
      <c r="AT32" s="38" t="n"/>
      <c r="AV32" s="38" t="n"/>
      <c r="AX32" s="38" t="n"/>
      <c r="AZ32" s="38" t="n"/>
      <c r="BB32" s="38" t="n"/>
      <c r="BD32" s="38" t="n"/>
      <c r="BF32" s="38" t="n"/>
      <c r="BH32" s="38" t="n"/>
      <c r="BJ32" s="38" t="n"/>
      <c r="BL32" s="38" t="n"/>
      <c r="BN32" s="38" t="n"/>
      <c r="BP32" s="38" t="n"/>
      <c r="BR32" s="39" t="n"/>
      <c r="BT32" s="38" t="n"/>
      <c r="BV32" s="38" t="n"/>
      <c r="BX32" s="38" t="n"/>
      <c r="BZ32" s="38" t="n"/>
      <c r="CB32" s="38" t="n"/>
      <c r="CD32" s="38" t="n"/>
      <c r="CF32" s="38" t="n"/>
      <c r="CH32" s="38" t="n"/>
      <c r="CJ32" s="38" t="n"/>
    </row>
    <row r="33">
      <c r="A33" s="28" t="inlineStr">
        <is>
          <t>Business Goal</t>
        </is>
      </c>
      <c r="B33" s="28" t="inlineStr">
        <is>
          <t>MTU</t>
        </is>
      </c>
      <c r="C33" s="34" t="inlineStr">
        <is>
          <t>#2 New Channel: roll out the WhatsApp MTU chatbot</t>
        </is>
      </c>
      <c r="D33" s="28" t="inlineStr">
        <is>
          <t>High</t>
        </is>
      </c>
      <c r="E33" s="28" t="inlineStr">
        <is>
          <t>Q1</t>
        </is>
      </c>
      <c r="F33" s="28" t="inlineStr">
        <is>
          <t>Carry over</t>
        </is>
      </c>
      <c r="G33" s="28" t="inlineStr">
        <is>
          <t>M</t>
        </is>
      </c>
      <c r="H33" s="28" t="inlineStr"/>
      <c r="I33" s="28" t="inlineStr"/>
      <c r="J33" s="28" t="inlineStr"/>
      <c r="K33" s="28" t="inlineStr"/>
      <c r="L33" s="28" t="inlineStr"/>
      <c r="M33" s="28" t="inlineStr"/>
      <c r="N33" s="28" t="inlineStr"/>
      <c r="O33" s="28" t="inlineStr"/>
      <c r="P33" s="28" t="inlineStr">
        <is>
          <t>PM</t>
        </is>
      </c>
      <c r="Q33" s="28" t="inlineStr"/>
      <c r="R33" s="44" t="inlineStr">
        <is>
          <t>PM</t>
        </is>
      </c>
      <c r="T33" s="35" t="n"/>
      <c r="V33" s="35" t="n"/>
      <c r="X33" s="35" t="n"/>
      <c r="Z33" s="35" t="n"/>
      <c r="AB33" s="35" t="n"/>
      <c r="AD33" s="35" t="n"/>
      <c r="AF33" s="35" t="n"/>
      <c r="AH33" s="35" t="n"/>
      <c r="AJ33" s="35" t="n"/>
      <c r="AL33" s="35" t="n"/>
      <c r="AN33" s="35" t="n"/>
      <c r="AP33" s="35" t="n"/>
      <c r="AR33" s="35" t="n"/>
      <c r="AT33" s="35" t="n"/>
      <c r="AV33" s="35" t="n"/>
      <c r="AX33" s="35" t="n"/>
      <c r="AZ33" s="35" t="n"/>
      <c r="BB33" s="35" t="n"/>
      <c r="BD33" s="35" t="n"/>
      <c r="BF33" s="35" t="n"/>
      <c r="BH33" s="35" t="n"/>
      <c r="BJ33" s="35" t="n"/>
      <c r="BL33" s="35" t="n"/>
      <c r="BN33" s="35" t="n"/>
      <c r="BP33" s="35" t="n"/>
      <c r="BR33" s="36" t="n"/>
      <c r="BT33" s="35" t="n"/>
      <c r="BV33" s="35" t="n"/>
      <c r="BX33" s="35" t="n"/>
      <c r="BZ33" s="35" t="n"/>
      <c r="CB33" s="35" t="n"/>
      <c r="CD33" s="35" t="n"/>
      <c r="CF33" s="35" t="n"/>
      <c r="CH33" s="35" t="n"/>
      <c r="CJ33" s="35" t="n"/>
    </row>
    <row r="34">
      <c r="A34" s="31" t="n"/>
      <c r="B34" s="31" t="n"/>
      <c r="C34" s="37" t="inlineStr">
        <is>
          <t>31 Aug 2026 to 25 Oct 2026</t>
        </is>
      </c>
      <c r="D34" s="31" t="n"/>
      <c r="E34" s="31" t="n"/>
      <c r="F34" s="31" t="n"/>
      <c r="G34" s="31" t="n"/>
      <c r="H34" s="31" t="n"/>
      <c r="I34" s="31" t="n"/>
      <c r="J34" s="31" t="n"/>
      <c r="K34" s="31" t="n"/>
      <c r="L34" s="31" t="n"/>
      <c r="M34" s="31" t="n"/>
      <c r="N34" s="31" t="n"/>
      <c r="O34" s="31" t="n"/>
      <c r="P34" s="31" t="inlineStr">
        <is>
          <t>Dsgn</t>
        </is>
      </c>
      <c r="Q34" s="31" t="n"/>
      <c r="R34" s="38" t="n"/>
      <c r="T34" s="38" t="n"/>
      <c r="V34" s="38" t="n"/>
      <c r="X34" s="38" t="n"/>
      <c r="Z34" s="38" t="n"/>
      <c r="AB34" s="38" t="n"/>
      <c r="AD34" s="38" t="n"/>
      <c r="AF34" s="38" t="n"/>
      <c r="AH34" s="38" t="n"/>
      <c r="AJ34" s="38" t="n"/>
      <c r="AL34" s="38" t="n"/>
      <c r="AN34" s="38" t="n"/>
      <c r="AP34" s="38" t="n"/>
      <c r="AR34" s="38" t="n"/>
      <c r="AT34" s="38" t="n"/>
      <c r="AV34" s="38" t="n"/>
      <c r="AX34" s="38" t="n"/>
      <c r="AZ34" s="38" t="n"/>
      <c r="BB34" s="38" t="n"/>
      <c r="BD34" s="38" t="n"/>
      <c r="BF34" s="38" t="n"/>
      <c r="BH34" s="38" t="n"/>
      <c r="BJ34" s="38" t="n"/>
      <c r="BL34" s="38" t="n"/>
      <c r="BN34" s="38" t="n"/>
      <c r="BP34" s="38" t="n"/>
      <c r="BR34" s="39" t="n"/>
      <c r="BT34" s="38" t="n"/>
      <c r="BV34" s="38" t="n"/>
      <c r="BX34" s="38" t="n"/>
      <c r="BZ34" s="38" t="n"/>
      <c r="CB34" s="38" t="n"/>
      <c r="CD34" s="38" t="n"/>
      <c r="CF34" s="38" t="n"/>
      <c r="CH34" s="38" t="n"/>
      <c r="CJ34" s="38" t="n"/>
    </row>
    <row r="35">
      <c r="A35" s="31" t="n"/>
      <c r="B35" s="31" t="n"/>
      <c r="C35" s="40" t="inlineStr">
        <is>
          <t>BE M (2 FTE spr) · App - (0 FTE spr) · Design -</t>
        </is>
      </c>
      <c r="D35" s="31" t="n"/>
      <c r="E35" s="31" t="n"/>
      <c r="F35" s="31" t="n"/>
      <c r="G35" s="31" t="n"/>
      <c r="H35" s="31" t="n"/>
      <c r="I35" s="31" t="n"/>
      <c r="J35" s="31" t="n"/>
      <c r="K35" s="31" t="n"/>
      <c r="L35" s="31" t="n"/>
      <c r="M35" s="31" t="n"/>
      <c r="N35" s="31" t="n"/>
      <c r="O35" s="31" t="n"/>
      <c r="P35" s="31" t="inlineStr">
        <is>
          <t>TPM</t>
        </is>
      </c>
      <c r="Q35" s="31" t="inlineStr"/>
      <c r="R35" s="38" t="n"/>
      <c r="S35" s="45" t="inlineStr">
        <is>
          <t>TPM</t>
        </is>
      </c>
      <c r="T35" s="38" t="n"/>
      <c r="V35" s="38" t="n"/>
      <c r="X35" s="38" t="n"/>
      <c r="Z35" s="38" t="n"/>
      <c r="AB35" s="38" t="n"/>
      <c r="AD35" s="38" t="n"/>
      <c r="AF35" s="38" t="n"/>
      <c r="AH35" s="38" t="n"/>
      <c r="AJ35" s="38" t="n"/>
      <c r="AL35" s="38" t="n"/>
      <c r="AN35" s="38" t="n"/>
      <c r="AP35" s="38" t="n"/>
      <c r="AR35" s="38" t="n"/>
      <c r="AT35" s="38" t="n"/>
      <c r="AV35" s="38" t="n"/>
      <c r="AX35" s="38" t="n"/>
      <c r="AZ35" s="38" t="n"/>
      <c r="BB35" s="38" t="n"/>
      <c r="BD35" s="38" t="n"/>
      <c r="BF35" s="38" t="n"/>
      <c r="BH35" s="38" t="n"/>
      <c r="BJ35" s="38" t="n"/>
      <c r="BL35" s="38" t="n"/>
      <c r="BN35" s="38" t="n"/>
      <c r="BP35" s="38" t="n"/>
      <c r="BR35" s="39" t="n"/>
      <c r="BT35" s="38" t="n"/>
      <c r="BV35" s="38" t="n"/>
      <c r="BX35" s="38" t="n"/>
      <c r="BZ35" s="38" t="n"/>
      <c r="CB35" s="38" t="n"/>
      <c r="CD35" s="38" t="n"/>
      <c r="CF35" s="38" t="n"/>
      <c r="CH35" s="38" t="n"/>
      <c r="CJ35" s="38" t="n"/>
    </row>
    <row r="36">
      <c r="A36" s="31" t="n"/>
      <c r="B36" s="31" t="n"/>
      <c r="C36" s="41">
        <f>HYPERLINK("https://app.asana.com/1/8556634603607/project/1215564565348002/task/1215922468293591","Asana task")</f>
        <v/>
      </c>
      <c r="D36" s="31" t="n"/>
      <c r="E36" s="31" t="n"/>
      <c r="F36" s="31" t="n"/>
      <c r="G36" s="31" t="n"/>
      <c r="H36" s="31" t="n"/>
      <c r="I36" s="31" t="n"/>
      <c r="J36" s="31" t="n"/>
      <c r="K36" s="31" t="n"/>
      <c r="L36" s="31" t="n"/>
      <c r="M36" s="31" t="n"/>
      <c r="N36" s="31" t="n"/>
      <c r="O36" s="31" t="n"/>
      <c r="P36" s="31" t="inlineStr">
        <is>
          <t>BE</t>
        </is>
      </c>
      <c r="Q36" s="31" t="n">
        <v>1</v>
      </c>
      <c r="R36" s="38" t="n"/>
      <c r="T36" s="42" t="inlineStr">
        <is>
          <t>BE</t>
        </is>
      </c>
      <c r="U36" s="14" t="n"/>
      <c r="V36" s="46" t="n"/>
      <c r="W36" s="14" t="n"/>
      <c r="X36" s="38" t="n"/>
      <c r="Z36" s="38" t="n"/>
      <c r="AB36" s="38" t="n"/>
      <c r="AD36" s="38" t="n"/>
      <c r="AF36" s="38" t="n"/>
      <c r="AH36" s="38" t="n"/>
      <c r="AJ36" s="38" t="n"/>
      <c r="AL36" s="38" t="n"/>
      <c r="AN36" s="38" t="n"/>
      <c r="AP36" s="38" t="n"/>
      <c r="AR36" s="38" t="n"/>
      <c r="AT36" s="38" t="n"/>
      <c r="AV36" s="38" t="n"/>
      <c r="AX36" s="38" t="n"/>
      <c r="AZ36" s="38" t="n"/>
      <c r="BB36" s="38" t="n"/>
      <c r="BD36" s="38" t="n"/>
      <c r="BF36" s="38" t="n"/>
      <c r="BH36" s="38" t="n"/>
      <c r="BJ36" s="38" t="n"/>
      <c r="BL36" s="38" t="n"/>
      <c r="BN36" s="38" t="n"/>
      <c r="BP36" s="38" t="n"/>
      <c r="BR36" s="39" t="n"/>
      <c r="BT36" s="38" t="n"/>
      <c r="BV36" s="38" t="n"/>
      <c r="BX36" s="38" t="n"/>
      <c r="BZ36" s="38" t="n"/>
      <c r="CB36" s="38" t="n"/>
      <c r="CD36" s="38" t="n"/>
      <c r="CF36" s="38" t="n"/>
      <c r="CH36" s="38" t="n"/>
      <c r="CJ36" s="38" t="n"/>
    </row>
    <row r="37">
      <c r="A37" s="31" t="n"/>
      <c r="B37" s="31" t="n"/>
      <c r="C37" s="31" t="n"/>
      <c r="D37" s="31" t="n"/>
      <c r="E37" s="31" t="n"/>
      <c r="F37" s="31" t="n"/>
      <c r="G37" s="31" t="n"/>
      <c r="H37" s="31" t="n"/>
      <c r="I37" s="31" t="n"/>
      <c r="J37" s="31" t="n"/>
      <c r="K37" s="31" t="n"/>
      <c r="L37" s="31" t="n"/>
      <c r="M37" s="31" t="n"/>
      <c r="N37" s="31" t="n"/>
      <c r="O37" s="31" t="n"/>
      <c r="P37" s="31" t="inlineStr">
        <is>
          <t>App</t>
        </is>
      </c>
      <c r="Q37" s="31" t="n"/>
      <c r="R37" s="38" t="n"/>
      <c r="T37" s="38" t="n"/>
      <c r="V37" s="38" t="n"/>
      <c r="X37" s="38" t="n"/>
      <c r="Z37" s="38" t="n"/>
      <c r="AB37" s="38" t="n"/>
      <c r="AD37" s="38" t="n"/>
      <c r="AF37" s="38" t="n"/>
      <c r="AH37" s="38" t="n"/>
      <c r="AJ37" s="38" t="n"/>
      <c r="AL37" s="38" t="n"/>
      <c r="AN37" s="38" t="n"/>
      <c r="AP37" s="38" t="n"/>
      <c r="AR37" s="38" t="n"/>
      <c r="AT37" s="38" t="n"/>
      <c r="AV37" s="38" t="n"/>
      <c r="AX37" s="38" t="n"/>
      <c r="AZ37" s="38" t="n"/>
      <c r="BB37" s="38" t="n"/>
      <c r="BD37" s="38" t="n"/>
      <c r="BF37" s="38" t="n"/>
      <c r="BH37" s="38" t="n"/>
      <c r="BJ37" s="38" t="n"/>
      <c r="BL37" s="38" t="n"/>
      <c r="BN37" s="38" t="n"/>
      <c r="BP37" s="38" t="n"/>
      <c r="BR37" s="39" t="n"/>
      <c r="BT37" s="38" t="n"/>
      <c r="BV37" s="38" t="n"/>
      <c r="BX37" s="38" t="n"/>
      <c r="BZ37" s="38" t="n"/>
      <c r="CB37" s="38" t="n"/>
      <c r="CD37" s="38" t="n"/>
      <c r="CF37" s="38" t="n"/>
      <c r="CH37" s="38" t="n"/>
      <c r="CJ37" s="38" t="n"/>
    </row>
    <row r="38">
      <c r="A38" s="31" t="n"/>
      <c r="B38" s="31" t="n"/>
      <c r="C38" s="31" t="n"/>
      <c r="D38" s="31" t="n"/>
      <c r="E38" s="31" t="n"/>
      <c r="F38" s="31" t="n"/>
      <c r="G38" s="31" t="n"/>
      <c r="H38" s="31" t="n"/>
      <c r="I38" s="31" t="n"/>
      <c r="J38" s="31" t="n"/>
      <c r="K38" s="31" t="n"/>
      <c r="L38" s="31" t="n"/>
      <c r="M38" s="31" t="n"/>
      <c r="N38" s="31" t="n"/>
      <c r="O38" s="31" t="n"/>
      <c r="P38" s="31" t="inlineStr">
        <is>
          <t>QA</t>
        </is>
      </c>
      <c r="Q38" s="31" t="inlineStr"/>
      <c r="R38" s="38" t="n"/>
      <c r="T38" s="38" t="n"/>
      <c r="V38" s="38" t="n"/>
      <c r="X38" s="43" t="inlineStr">
        <is>
          <t>QA</t>
        </is>
      </c>
      <c r="Y38" s="16" t="n"/>
      <c r="Z38" s="38" t="n"/>
      <c r="AB38" s="38" t="n"/>
      <c r="AD38" s="38" t="n"/>
      <c r="AF38" s="38" t="n"/>
      <c r="AH38" s="38" t="n"/>
      <c r="AJ38" s="38" t="n"/>
      <c r="AL38" s="38" t="n"/>
      <c r="AN38" s="38" t="n"/>
      <c r="AP38" s="38" t="n"/>
      <c r="AR38" s="38" t="n"/>
      <c r="AT38" s="38" t="n"/>
      <c r="AV38" s="38" t="n"/>
      <c r="AX38" s="38" t="n"/>
      <c r="AZ38" s="38" t="n"/>
      <c r="BB38" s="38" t="n"/>
      <c r="BD38" s="38" t="n"/>
      <c r="BF38" s="38" t="n"/>
      <c r="BH38" s="38" t="n"/>
      <c r="BJ38" s="38" t="n"/>
      <c r="BL38" s="38" t="n"/>
      <c r="BN38" s="38" t="n"/>
      <c r="BP38" s="38" t="n"/>
      <c r="BR38" s="39" t="n"/>
      <c r="BT38" s="38" t="n"/>
      <c r="BV38" s="38" t="n"/>
      <c r="BX38" s="38" t="n"/>
      <c r="BZ38" s="38" t="n"/>
      <c r="CB38" s="38" t="n"/>
      <c r="CD38" s="38" t="n"/>
      <c r="CF38" s="38" t="n"/>
      <c r="CH38" s="38" t="n"/>
      <c r="CJ38" s="38" t="n"/>
    </row>
    <row r="39">
      <c r="A39" s="28" t="inlineStr">
        <is>
          <t>Board Goal</t>
        </is>
      </c>
      <c r="B39" s="28" t="inlineStr">
        <is>
          <t>MTU</t>
        </is>
      </c>
      <c r="C39" s="34" t="inlineStr">
        <is>
          <t>#3 Introduce postpaid top-ups (direct billers)</t>
        </is>
      </c>
      <c r="D39" s="28" t="inlineStr">
        <is>
          <t>High</t>
        </is>
      </c>
      <c r="E39" s="28" t="inlineStr">
        <is>
          <t>Q1</t>
        </is>
      </c>
      <c r="F39" s="28" t="inlineStr">
        <is>
          <t>Planned</t>
        </is>
      </c>
      <c r="G39" s="28" t="inlineStr">
        <is>
          <t>L</t>
        </is>
      </c>
      <c r="H39" s="28" t="inlineStr"/>
      <c r="I39" s="28" t="inlineStr"/>
      <c r="J39" s="28" t="inlineStr"/>
      <c r="K39" s="28" t="inlineStr"/>
      <c r="L39" s="28" t="inlineStr"/>
      <c r="M39" s="28" t="inlineStr"/>
      <c r="N39" s="28" t="inlineStr"/>
      <c r="O39" s="28" t="inlineStr"/>
      <c r="P39" s="28" t="inlineStr">
        <is>
          <t>PM</t>
        </is>
      </c>
      <c r="Q39" s="28" t="inlineStr"/>
      <c r="R39" s="44" t="inlineStr">
        <is>
          <t>PM</t>
        </is>
      </c>
      <c r="S39" s="11" t="n"/>
      <c r="T39" s="35" t="n"/>
      <c r="V39" s="35" t="n"/>
      <c r="X39" s="35" t="n"/>
      <c r="Z39" s="35" t="n"/>
      <c r="AB39" s="35" t="n"/>
      <c r="AD39" s="35" t="n"/>
      <c r="AF39" s="35" t="n"/>
      <c r="AH39" s="35" t="n"/>
      <c r="AJ39" s="35" t="n"/>
      <c r="AL39" s="35" t="n"/>
      <c r="AN39" s="35" t="n"/>
      <c r="AP39" s="35" t="n"/>
      <c r="AR39" s="35" t="n"/>
      <c r="AT39" s="35" t="n"/>
      <c r="AV39" s="35" t="n"/>
      <c r="AX39" s="35" t="n"/>
      <c r="AZ39" s="35" t="n"/>
      <c r="BB39" s="35" t="n"/>
      <c r="BD39" s="35" t="n"/>
      <c r="BF39" s="35" t="n"/>
      <c r="BH39" s="35" t="n"/>
      <c r="BJ39" s="35" t="n"/>
      <c r="BL39" s="35" t="n"/>
      <c r="BN39" s="35" t="n"/>
      <c r="BP39" s="35" t="n"/>
      <c r="BR39" s="36" t="n"/>
      <c r="BT39" s="35" t="n"/>
      <c r="BV39" s="35" t="n"/>
      <c r="BX39" s="35" t="n"/>
      <c r="BZ39" s="35" t="n"/>
      <c r="CB39" s="35" t="n"/>
      <c r="CD39" s="35" t="n"/>
      <c r="CF39" s="35" t="n"/>
      <c r="CH39" s="35" t="n"/>
      <c r="CJ39" s="35" t="n"/>
    </row>
    <row r="40">
      <c r="A40" s="31" t="n"/>
      <c r="B40" s="31" t="n"/>
      <c r="C40" s="37" t="inlineStr">
        <is>
          <t>31 Aug 2026 to 6 Dec 2026</t>
        </is>
      </c>
      <c r="D40" s="31" t="n"/>
      <c r="E40" s="31" t="n"/>
      <c r="F40" s="31" t="n"/>
      <c r="G40" s="31" t="n"/>
      <c r="H40" s="31" t="n"/>
      <c r="I40" s="31" t="n"/>
      <c r="J40" s="31" t="n"/>
      <c r="K40" s="31" t="n"/>
      <c r="L40" s="31" t="n"/>
      <c r="M40" s="31" t="n"/>
      <c r="N40" s="31" t="n"/>
      <c r="O40" s="31" t="n"/>
      <c r="P40" s="31" t="inlineStr">
        <is>
          <t>Dsgn</t>
        </is>
      </c>
      <c r="Q40" s="31" t="inlineStr"/>
      <c r="R40" s="38" t="n"/>
      <c r="T40" s="47" t="inlineStr">
        <is>
          <t>Dsgn</t>
        </is>
      </c>
      <c r="U40" s="12" t="n"/>
      <c r="V40" s="38" t="n"/>
      <c r="X40" s="38" t="n"/>
      <c r="Z40" s="38" t="n"/>
      <c r="AB40" s="38" t="n"/>
      <c r="AD40" s="38" t="n"/>
      <c r="AF40" s="38" t="n"/>
      <c r="AH40" s="38" t="n"/>
      <c r="AJ40" s="38" t="n"/>
      <c r="AL40" s="38" t="n"/>
      <c r="AN40" s="38" t="n"/>
      <c r="AP40" s="38" t="n"/>
      <c r="AR40" s="38" t="n"/>
      <c r="AT40" s="38" t="n"/>
      <c r="AV40" s="38" t="n"/>
      <c r="AX40" s="38" t="n"/>
      <c r="AZ40" s="38" t="n"/>
      <c r="BB40" s="38" t="n"/>
      <c r="BD40" s="38" t="n"/>
      <c r="BF40" s="38" t="n"/>
      <c r="BH40" s="38" t="n"/>
      <c r="BJ40" s="38" t="n"/>
      <c r="BL40" s="38" t="n"/>
      <c r="BN40" s="38" t="n"/>
      <c r="BP40" s="38" t="n"/>
      <c r="BR40" s="39" t="n"/>
      <c r="BT40" s="38" t="n"/>
      <c r="BV40" s="38" t="n"/>
      <c r="BX40" s="38" t="n"/>
      <c r="BZ40" s="38" t="n"/>
      <c r="CB40" s="38" t="n"/>
      <c r="CD40" s="38" t="n"/>
      <c r="CF40" s="38" t="n"/>
      <c r="CH40" s="38" t="n"/>
      <c r="CJ40" s="38" t="n"/>
    </row>
    <row r="41">
      <c r="A41" s="31" t="n"/>
      <c r="B41" s="31" t="n"/>
      <c r="C41" s="40" t="inlineStr">
        <is>
          <t>BE L (4 FTE spr) · App S (1 FTE spr) · Design S</t>
        </is>
      </c>
      <c r="D41" s="31" t="n"/>
      <c r="E41" s="31" t="n"/>
      <c r="F41" s="31" t="n"/>
      <c r="G41" s="31" t="n"/>
      <c r="H41" s="31" t="n"/>
      <c r="I41" s="31" t="n"/>
      <c r="J41" s="31" t="n"/>
      <c r="K41" s="31" t="n"/>
      <c r="L41" s="31" t="n"/>
      <c r="M41" s="31" t="n"/>
      <c r="N41" s="31" t="n"/>
      <c r="O41" s="31" t="n"/>
      <c r="P41" s="31" t="inlineStr">
        <is>
          <t>TPM</t>
        </is>
      </c>
      <c r="Q41" s="31" t="inlineStr"/>
      <c r="R41" s="38" t="n"/>
      <c r="T41" s="38" t="n"/>
      <c r="V41" s="48" t="inlineStr">
        <is>
          <t>TPM</t>
        </is>
      </c>
      <c r="W41" s="13" t="n"/>
      <c r="X41" s="38" t="n"/>
      <c r="Z41" s="38" t="n"/>
      <c r="AB41" s="38" t="n"/>
      <c r="AD41" s="38" t="n"/>
      <c r="AF41" s="38" t="n"/>
      <c r="AH41" s="38" t="n"/>
      <c r="AJ41" s="38" t="n"/>
      <c r="AL41" s="38" t="n"/>
      <c r="AN41" s="38" t="n"/>
      <c r="AP41" s="38" t="n"/>
      <c r="AR41" s="38" t="n"/>
      <c r="AT41" s="38" t="n"/>
      <c r="AV41" s="38" t="n"/>
      <c r="AX41" s="38" t="n"/>
      <c r="AZ41" s="38" t="n"/>
      <c r="BB41" s="38" t="n"/>
      <c r="BD41" s="38" t="n"/>
      <c r="BF41" s="38" t="n"/>
      <c r="BH41" s="38" t="n"/>
      <c r="BJ41" s="38" t="n"/>
      <c r="BL41" s="38" t="n"/>
      <c r="BN41" s="38" t="n"/>
      <c r="BP41" s="38" t="n"/>
      <c r="BR41" s="39" t="n"/>
      <c r="BT41" s="38" t="n"/>
      <c r="BV41" s="38" t="n"/>
      <c r="BX41" s="38" t="n"/>
      <c r="BZ41" s="38" t="n"/>
      <c r="CB41" s="38" t="n"/>
      <c r="CD41" s="38" t="n"/>
      <c r="CF41" s="38" t="n"/>
      <c r="CH41" s="38" t="n"/>
      <c r="CJ41" s="38" t="n"/>
    </row>
    <row r="42">
      <c r="A42" s="31" t="n"/>
      <c r="B42" s="31" t="n"/>
      <c r="C42" s="41">
        <f>HYPERLINK("https://app.asana.com/1/8556634603607/project/1215564565348002/task/1218156429240249","Asana task")</f>
        <v/>
      </c>
      <c r="D42" s="31" t="n"/>
      <c r="E42" s="31" t="n"/>
      <c r="F42" s="31" t="n"/>
      <c r="G42" s="31" t="n"/>
      <c r="H42" s="31" t="n"/>
      <c r="I42" s="31" t="n"/>
      <c r="J42" s="31" t="n"/>
      <c r="K42" s="31" t="n"/>
      <c r="L42" s="31" t="n"/>
      <c r="M42" s="31" t="n"/>
      <c r="N42" s="31" t="n"/>
      <c r="O42" s="31" t="n"/>
      <c r="P42" s="31" t="inlineStr">
        <is>
          <t>BE</t>
        </is>
      </c>
      <c r="Q42" s="31" t="n">
        <v>2</v>
      </c>
      <c r="R42" s="38" t="n"/>
      <c r="T42" s="38" t="n"/>
      <c r="V42" s="38" t="n"/>
      <c r="X42" s="42" t="inlineStr">
        <is>
          <t>BE</t>
        </is>
      </c>
      <c r="Y42" s="14" t="n"/>
      <c r="Z42" s="46" t="n"/>
      <c r="AA42" s="14" t="n"/>
      <c r="AB42" s="38" t="n"/>
      <c r="AD42" s="38" t="n"/>
      <c r="AF42" s="38" t="n"/>
      <c r="AH42" s="38" t="n"/>
      <c r="AJ42" s="38" t="n"/>
      <c r="AL42" s="38" t="n"/>
      <c r="AN42" s="38" t="n"/>
      <c r="AP42" s="38" t="n"/>
      <c r="AR42" s="38" t="n"/>
      <c r="AT42" s="38" t="n"/>
      <c r="AV42" s="38" t="n"/>
      <c r="AX42" s="38" t="n"/>
      <c r="AZ42" s="38" t="n"/>
      <c r="BB42" s="38" t="n"/>
      <c r="BD42" s="38" t="n"/>
      <c r="BF42" s="38" t="n"/>
      <c r="BH42" s="38" t="n"/>
      <c r="BJ42" s="38" t="n"/>
      <c r="BL42" s="38" t="n"/>
      <c r="BN42" s="38" t="n"/>
      <c r="BP42" s="38" t="n"/>
      <c r="BR42" s="39" t="n"/>
      <c r="BT42" s="38" t="n"/>
      <c r="BV42" s="38" t="n"/>
      <c r="BX42" s="38" t="n"/>
      <c r="BZ42" s="38" t="n"/>
      <c r="CB42" s="38" t="n"/>
      <c r="CD42" s="38" t="n"/>
      <c r="CF42" s="38" t="n"/>
      <c r="CH42" s="38" t="n"/>
      <c r="CJ42" s="38" t="n"/>
    </row>
    <row r="43">
      <c r="A43" s="31" t="n"/>
      <c r="B43" s="31" t="n"/>
      <c r="C43" s="31" t="n"/>
      <c r="D43" s="31" t="n"/>
      <c r="E43" s="31" t="n"/>
      <c r="F43" s="31" t="n"/>
      <c r="G43" s="31" t="n"/>
      <c r="H43" s="31" t="n"/>
      <c r="I43" s="31" t="n"/>
      <c r="J43" s="31" t="n"/>
      <c r="K43" s="31" t="n"/>
      <c r="L43" s="31" t="n"/>
      <c r="M43" s="31" t="n"/>
      <c r="N43" s="31" t="n"/>
      <c r="O43" s="31" t="n"/>
      <c r="P43" s="31" t="inlineStr">
        <is>
          <t>App</t>
        </is>
      </c>
      <c r="Q43" s="31" t="n">
        <v>1</v>
      </c>
      <c r="R43" s="38" t="n"/>
      <c r="T43" s="38" t="n"/>
      <c r="V43" s="38" t="n"/>
      <c r="X43" s="38" t="n"/>
      <c r="Z43" s="38" t="n"/>
      <c r="AB43" s="49" t="inlineStr">
        <is>
          <t>App</t>
        </is>
      </c>
      <c r="AC43" s="15" t="n"/>
      <c r="AD43" s="38" t="n"/>
      <c r="AF43" s="38" t="n"/>
      <c r="AH43" s="38" t="n"/>
      <c r="AJ43" s="38" t="n"/>
      <c r="AL43" s="38" t="n"/>
      <c r="AN43" s="38" t="n"/>
      <c r="AP43" s="38" t="n"/>
      <c r="AR43" s="38" t="n"/>
      <c r="AT43" s="38" t="n"/>
      <c r="AV43" s="38" t="n"/>
      <c r="AX43" s="38" t="n"/>
      <c r="AZ43" s="38" t="n"/>
      <c r="BB43" s="38" t="n"/>
      <c r="BD43" s="38" t="n"/>
      <c r="BF43" s="38" t="n"/>
      <c r="BH43" s="38" t="n"/>
      <c r="BJ43" s="38" t="n"/>
      <c r="BL43" s="38" t="n"/>
      <c r="BN43" s="38" t="n"/>
      <c r="BP43" s="38" t="n"/>
      <c r="BR43" s="39" t="n"/>
      <c r="BT43" s="38" t="n"/>
      <c r="BV43" s="38" t="n"/>
      <c r="BX43" s="38" t="n"/>
      <c r="BZ43" s="38" t="n"/>
      <c r="CB43" s="38" t="n"/>
      <c r="CD43" s="38" t="n"/>
      <c r="CF43" s="38" t="n"/>
      <c r="CH43" s="38" t="n"/>
      <c r="CJ43" s="38" t="n"/>
    </row>
    <row r="44">
      <c r="A44" s="31" t="n"/>
      <c r="B44" s="31" t="n"/>
      <c r="C44" s="31" t="n"/>
      <c r="D44" s="31" t="n"/>
      <c r="E44" s="31" t="n"/>
      <c r="F44" s="31" t="n"/>
      <c r="G44" s="31" t="n"/>
      <c r="H44" s="31" t="n"/>
      <c r="I44" s="31" t="n"/>
      <c r="J44" s="31" t="n"/>
      <c r="K44" s="31" t="n"/>
      <c r="L44" s="31" t="n"/>
      <c r="M44" s="31" t="n"/>
      <c r="N44" s="31" t="n"/>
      <c r="O44" s="31" t="n"/>
      <c r="P44" s="31" t="inlineStr">
        <is>
          <t>QA</t>
        </is>
      </c>
      <c r="Q44" s="31" t="inlineStr"/>
      <c r="R44" s="38" t="n"/>
      <c r="T44" s="38" t="n"/>
      <c r="V44" s="38" t="n"/>
      <c r="X44" s="38" t="n"/>
      <c r="Z44" s="38" t="n"/>
      <c r="AB44" s="38" t="n"/>
      <c r="AD44" s="43" t="inlineStr">
        <is>
          <t>QA</t>
        </is>
      </c>
      <c r="AE44" s="16" t="n"/>
      <c r="AF44" s="38" t="n"/>
      <c r="AH44" s="38" t="n"/>
      <c r="AJ44" s="38" t="n"/>
      <c r="AL44" s="38" t="n"/>
      <c r="AN44" s="38" t="n"/>
      <c r="AP44" s="38" t="n"/>
      <c r="AR44" s="38" t="n"/>
      <c r="AT44" s="38" t="n"/>
      <c r="AV44" s="38" t="n"/>
      <c r="AX44" s="38" t="n"/>
      <c r="AZ44" s="38" t="n"/>
      <c r="BB44" s="38" t="n"/>
      <c r="BD44" s="38" t="n"/>
      <c r="BF44" s="38" t="n"/>
      <c r="BH44" s="38" t="n"/>
      <c r="BJ44" s="38" t="n"/>
      <c r="BL44" s="38" t="n"/>
      <c r="BN44" s="38" t="n"/>
      <c r="BP44" s="38" t="n"/>
      <c r="BR44" s="39" t="n"/>
      <c r="BT44" s="38" t="n"/>
      <c r="BV44" s="38" t="n"/>
      <c r="BX44" s="38" t="n"/>
      <c r="BZ44" s="38" t="n"/>
      <c r="CB44" s="38" t="n"/>
      <c r="CD44" s="38" t="n"/>
      <c r="CF44" s="38" t="n"/>
      <c r="CH44" s="38" t="n"/>
      <c r="CJ44" s="38" t="n"/>
    </row>
    <row r="45">
      <c r="A45" s="28" t="inlineStr">
        <is>
          <t>Business Goal</t>
        </is>
      </c>
      <c r="B45" s="28" t="inlineStr">
        <is>
          <t>MTU</t>
        </is>
      </c>
      <c r="C45" s="34" t="inlineStr">
        <is>
          <t>#4 MTU modular component and cross-selling MTU on Money Transfer</t>
        </is>
      </c>
      <c r="D45" s="28" t="inlineStr">
        <is>
          <t>High</t>
        </is>
      </c>
      <c r="E45" s="28" t="inlineStr">
        <is>
          <t>Q1</t>
        </is>
      </c>
      <c r="F45" s="28" t="inlineStr">
        <is>
          <t>Planned</t>
        </is>
      </c>
      <c r="G45" s="28" t="inlineStr">
        <is>
          <t>L</t>
        </is>
      </c>
      <c r="H45" s="28" t="inlineStr"/>
      <c r="I45" s="28" t="inlineStr"/>
      <c r="J45" s="28" t="inlineStr"/>
      <c r="K45" s="28" t="inlineStr"/>
      <c r="L45" s="28" t="inlineStr"/>
      <c r="M45" s="28" t="inlineStr"/>
      <c r="N45" s="28" t="inlineStr"/>
      <c r="O45" s="28" t="inlineStr"/>
      <c r="P45" s="28" t="inlineStr">
        <is>
          <t>PM</t>
        </is>
      </c>
      <c r="Q45" s="28" t="inlineStr"/>
      <c r="R45" s="35" t="n"/>
      <c r="S45" s="50" t="inlineStr">
        <is>
          <t>PM</t>
        </is>
      </c>
      <c r="T45" s="51" t="n"/>
      <c r="V45" s="35" t="n"/>
      <c r="X45" s="35" t="n"/>
      <c r="Z45" s="35" t="n"/>
      <c r="AB45" s="35" t="n"/>
      <c r="AD45" s="35" t="n"/>
      <c r="AF45" s="35" t="n"/>
      <c r="AH45" s="35" t="n"/>
      <c r="AJ45" s="35" t="n"/>
      <c r="AL45" s="35" t="n"/>
      <c r="AN45" s="35" t="n"/>
      <c r="AP45" s="35" t="n"/>
      <c r="AR45" s="35" t="n"/>
      <c r="AT45" s="35" t="n"/>
      <c r="AV45" s="35" t="n"/>
      <c r="AX45" s="35" t="n"/>
      <c r="AZ45" s="35" t="n"/>
      <c r="BB45" s="35" t="n"/>
      <c r="BD45" s="35" t="n"/>
      <c r="BF45" s="35" t="n"/>
      <c r="BH45" s="35" t="n"/>
      <c r="BJ45" s="35" t="n"/>
      <c r="BL45" s="35" t="n"/>
      <c r="BN45" s="35" t="n"/>
      <c r="BP45" s="35" t="n"/>
      <c r="BR45" s="36" t="n"/>
      <c r="BT45" s="35" t="n"/>
      <c r="BV45" s="35" t="n"/>
      <c r="BX45" s="35" t="n"/>
      <c r="BZ45" s="35" t="n"/>
      <c r="CB45" s="35" t="n"/>
      <c r="CD45" s="35" t="n"/>
      <c r="CF45" s="35" t="n"/>
      <c r="CH45" s="35" t="n"/>
      <c r="CJ45" s="35" t="n"/>
    </row>
    <row r="46">
      <c r="A46" s="31" t="n"/>
      <c r="B46" s="31" t="n"/>
      <c r="C46" s="37" t="inlineStr">
        <is>
          <t>7 Sep 2026 to 17 Jan 2027</t>
        </is>
      </c>
      <c r="D46" s="31" t="n"/>
      <c r="E46" s="31" t="n"/>
      <c r="F46" s="31" t="n"/>
      <c r="G46" s="31" t="n"/>
      <c r="H46" s="31" t="n"/>
      <c r="I46" s="31" t="n"/>
      <c r="J46" s="31" t="n"/>
      <c r="K46" s="31" t="n"/>
      <c r="L46" s="31" t="n"/>
      <c r="M46" s="31" t="n"/>
      <c r="N46" s="31" t="n"/>
      <c r="O46" s="31" t="n"/>
      <c r="P46" s="31" t="inlineStr">
        <is>
          <t>Dsgn</t>
        </is>
      </c>
      <c r="Q46" s="31" t="inlineStr"/>
      <c r="R46" s="38" t="n"/>
      <c r="T46" s="38" t="n"/>
      <c r="U46" s="52" t="inlineStr">
        <is>
          <t>Dsgn</t>
        </is>
      </c>
      <c r="V46" s="53" t="n"/>
      <c r="W46" s="12" t="n"/>
      <c r="X46" s="38" t="n"/>
      <c r="Z46" s="38" t="n"/>
      <c r="AB46" s="38" t="n"/>
      <c r="AD46" s="38" t="n"/>
      <c r="AF46" s="38" t="n"/>
      <c r="AH46" s="38" t="n"/>
      <c r="AJ46" s="38" t="n"/>
      <c r="AL46" s="38" t="n"/>
      <c r="AN46" s="38" t="n"/>
      <c r="AP46" s="38" t="n"/>
      <c r="AR46" s="38" t="n"/>
      <c r="AT46" s="38" t="n"/>
      <c r="AV46" s="38" t="n"/>
      <c r="AX46" s="38" t="n"/>
      <c r="AZ46" s="38" t="n"/>
      <c r="BB46" s="38" t="n"/>
      <c r="BD46" s="38" t="n"/>
      <c r="BF46" s="38" t="n"/>
      <c r="BH46" s="38" t="n"/>
      <c r="BJ46" s="38" t="n"/>
      <c r="BL46" s="38" t="n"/>
      <c r="BN46" s="38" t="n"/>
      <c r="BP46" s="38" t="n"/>
      <c r="BR46" s="39" t="n"/>
      <c r="BT46" s="38" t="n"/>
      <c r="BV46" s="38" t="n"/>
      <c r="BX46" s="38" t="n"/>
      <c r="BZ46" s="38" t="n"/>
      <c r="CB46" s="38" t="n"/>
      <c r="CD46" s="38" t="n"/>
      <c r="CF46" s="38" t="n"/>
      <c r="CH46" s="38" t="n"/>
      <c r="CJ46" s="38" t="n"/>
    </row>
    <row r="47">
      <c r="A47" s="31" t="n"/>
      <c r="B47" s="31" t="n"/>
      <c r="C47" s="40" t="inlineStr">
        <is>
          <t>BE M (2 FTE spr) · App L (4 FTE spr) · Design M</t>
        </is>
      </c>
      <c r="D47" s="31" t="n"/>
      <c r="E47" s="31" t="n"/>
      <c r="F47" s="31" t="n"/>
      <c r="G47" s="31" t="n"/>
      <c r="H47" s="31" t="n"/>
      <c r="I47" s="31" t="n"/>
      <c r="J47" s="31" t="n"/>
      <c r="K47" s="31" t="n"/>
      <c r="L47" s="31" t="n"/>
      <c r="M47" s="31" t="n"/>
      <c r="N47" s="31" t="n"/>
      <c r="O47" s="31" t="n"/>
      <c r="P47" s="31" t="inlineStr">
        <is>
          <t>TPM</t>
        </is>
      </c>
      <c r="Q47" s="31" t="inlineStr"/>
      <c r="R47" s="38" t="n"/>
      <c r="T47" s="38" t="n"/>
      <c r="V47" s="38" t="n"/>
      <c r="X47" s="48" t="inlineStr">
        <is>
          <t>TPM</t>
        </is>
      </c>
      <c r="Y47" s="13" t="n"/>
      <c r="Z47" s="38" t="n"/>
      <c r="AB47" s="38" t="n"/>
      <c r="AD47" s="38" t="n"/>
      <c r="AF47" s="38" t="n"/>
      <c r="AH47" s="38" t="n"/>
      <c r="AJ47" s="38" t="n"/>
      <c r="AL47" s="38" t="n"/>
      <c r="AN47" s="38" t="n"/>
      <c r="AP47" s="38" t="n"/>
      <c r="AR47" s="38" t="n"/>
      <c r="AT47" s="38" t="n"/>
      <c r="AV47" s="38" t="n"/>
      <c r="AX47" s="38" t="n"/>
      <c r="AZ47" s="38" t="n"/>
      <c r="BB47" s="38" t="n"/>
      <c r="BD47" s="38" t="n"/>
      <c r="BF47" s="38" t="n"/>
      <c r="BH47" s="38" t="n"/>
      <c r="BJ47" s="38" t="n"/>
      <c r="BL47" s="38" t="n"/>
      <c r="BN47" s="38" t="n"/>
      <c r="BP47" s="38" t="n"/>
      <c r="BR47" s="39" t="n"/>
      <c r="BT47" s="38" t="n"/>
      <c r="BV47" s="38" t="n"/>
      <c r="BX47" s="38" t="n"/>
      <c r="BZ47" s="38" t="n"/>
      <c r="CB47" s="38" t="n"/>
      <c r="CD47" s="38" t="n"/>
      <c r="CF47" s="38" t="n"/>
      <c r="CH47" s="38" t="n"/>
      <c r="CJ47" s="38" t="n"/>
    </row>
    <row r="48">
      <c r="A48" s="31" t="n"/>
      <c r="B48" s="31" t="n"/>
      <c r="C48" s="41">
        <f>HYPERLINK("https://app.asana.com/1/8556634603607/project/1215564565348002/task/1216072967479615","Asana task")</f>
        <v/>
      </c>
      <c r="D48" s="31" t="n"/>
      <c r="E48" s="31" t="n"/>
      <c r="F48" s="31" t="n"/>
      <c r="G48" s="31" t="n"/>
      <c r="H48" s="31" t="n"/>
      <c r="I48" s="31" t="n"/>
      <c r="J48" s="31" t="n"/>
      <c r="K48" s="31" t="n"/>
      <c r="L48" s="31" t="n"/>
      <c r="M48" s="31" t="n"/>
      <c r="N48" s="31" t="n"/>
      <c r="O48" s="31" t="n"/>
      <c r="P48" s="31" t="inlineStr">
        <is>
          <t>BE</t>
        </is>
      </c>
      <c r="Q48" s="31" t="n">
        <v>1</v>
      </c>
      <c r="R48" s="38" t="n"/>
      <c r="T48" s="38" t="n"/>
      <c r="V48" s="38" t="n"/>
      <c r="X48" s="38" t="n"/>
      <c r="Z48" s="38" t="n"/>
      <c r="AB48" s="42" t="inlineStr">
        <is>
          <t>BE</t>
        </is>
      </c>
      <c r="AC48" s="14" t="n"/>
      <c r="AD48" s="46" t="n"/>
      <c r="AE48" s="14" t="n"/>
      <c r="AF48" s="38" t="n"/>
      <c r="AH48" s="38" t="n"/>
      <c r="AJ48" s="38" t="n"/>
      <c r="AL48" s="38" t="n"/>
      <c r="AN48" s="38" t="n"/>
      <c r="AP48" s="38" t="n"/>
      <c r="AR48" s="38" t="n"/>
      <c r="AT48" s="38" t="n"/>
      <c r="AV48" s="38" t="n"/>
      <c r="AX48" s="38" t="n"/>
      <c r="AZ48" s="38" t="n"/>
      <c r="BB48" s="38" t="n"/>
      <c r="BD48" s="38" t="n"/>
      <c r="BF48" s="38" t="n"/>
      <c r="BH48" s="38" t="n"/>
      <c r="BJ48" s="38" t="n"/>
      <c r="BL48" s="38" t="n"/>
      <c r="BN48" s="38" t="n"/>
      <c r="BP48" s="38" t="n"/>
      <c r="BR48" s="39" t="n"/>
      <c r="BT48" s="38" t="n"/>
      <c r="BV48" s="38" t="n"/>
      <c r="BX48" s="38" t="n"/>
      <c r="BZ48" s="38" t="n"/>
      <c r="CB48" s="38" t="n"/>
      <c r="CD48" s="38" t="n"/>
      <c r="CF48" s="38" t="n"/>
      <c r="CH48" s="38" t="n"/>
      <c r="CJ48" s="38" t="n"/>
    </row>
    <row r="49">
      <c r="A49" s="31" t="n"/>
      <c r="B49" s="31" t="n"/>
      <c r="C49" s="31" t="n"/>
      <c r="D49" s="31" t="n"/>
      <c r="E49" s="31" t="n"/>
      <c r="F49" s="31" t="n"/>
      <c r="G49" s="31" t="n"/>
      <c r="H49" s="31" t="n"/>
      <c r="I49" s="31" t="n"/>
      <c r="J49" s="31" t="n"/>
      <c r="K49" s="31" t="n"/>
      <c r="L49" s="31" t="n"/>
      <c r="M49" s="31" t="n"/>
      <c r="N49" s="31" t="n"/>
      <c r="O49" s="31" t="n"/>
      <c r="P49" s="31" t="inlineStr">
        <is>
          <t>App</t>
        </is>
      </c>
      <c r="Q49" s="31" t="n">
        <v>2</v>
      </c>
      <c r="R49" s="38" t="n"/>
      <c r="T49" s="38" t="n"/>
      <c r="V49" s="38" t="n"/>
      <c r="X49" s="38" t="n"/>
      <c r="Z49" s="38" t="n"/>
      <c r="AB49" s="38" t="n"/>
      <c r="AD49" s="38" t="n"/>
      <c r="AF49" s="49" t="inlineStr">
        <is>
          <t>App</t>
        </is>
      </c>
      <c r="AG49" s="15" t="n"/>
      <c r="AH49" s="54" t="n"/>
      <c r="AI49" s="15" t="n"/>
      <c r="AJ49" s="38" t="n"/>
      <c r="AL49" s="38" t="n"/>
      <c r="AN49" s="38" t="n"/>
      <c r="AP49" s="38" t="n"/>
      <c r="AR49" s="38" t="n"/>
      <c r="AT49" s="38" t="n"/>
      <c r="AV49" s="38" t="n"/>
      <c r="AX49" s="38" t="n"/>
      <c r="AZ49" s="38" t="n"/>
      <c r="BB49" s="38" t="n"/>
      <c r="BD49" s="38" t="n"/>
      <c r="BF49" s="38" t="n"/>
      <c r="BH49" s="38" t="n"/>
      <c r="BJ49" s="38" t="n"/>
      <c r="BL49" s="38" t="n"/>
      <c r="BN49" s="38" t="n"/>
      <c r="BP49" s="38" t="n"/>
      <c r="BR49" s="39" t="n"/>
      <c r="BT49" s="38" t="n"/>
      <c r="BV49" s="38" t="n"/>
      <c r="BX49" s="38" t="n"/>
      <c r="BZ49" s="38" t="n"/>
      <c r="CB49" s="38" t="n"/>
      <c r="CD49" s="38" t="n"/>
      <c r="CF49" s="38" t="n"/>
      <c r="CH49" s="38" t="n"/>
      <c r="CJ49" s="38" t="n"/>
    </row>
    <row r="50">
      <c r="A50" s="31" t="n"/>
      <c r="B50" s="31" t="n"/>
      <c r="C50" s="31" t="n"/>
      <c r="D50" s="31" t="n"/>
      <c r="E50" s="31" t="n"/>
      <c r="F50" s="31" t="n"/>
      <c r="G50" s="31" t="n"/>
      <c r="H50" s="31" t="n"/>
      <c r="I50" s="31" t="n"/>
      <c r="J50" s="31" t="n"/>
      <c r="K50" s="31" t="n"/>
      <c r="L50" s="31" t="n"/>
      <c r="M50" s="31" t="n"/>
      <c r="N50" s="31" t="n"/>
      <c r="O50" s="31" t="n"/>
      <c r="P50" s="31" t="inlineStr">
        <is>
          <t>QA</t>
        </is>
      </c>
      <c r="Q50" s="31" t="inlineStr"/>
      <c r="R50" s="38" t="n"/>
      <c r="T50" s="38" t="n"/>
      <c r="V50" s="38" t="n"/>
      <c r="X50" s="38" t="n"/>
      <c r="Z50" s="38" t="n"/>
      <c r="AB50" s="38" t="n"/>
      <c r="AD50" s="38" t="n"/>
      <c r="AF50" s="38" t="n"/>
      <c r="AH50" s="38" t="n"/>
      <c r="AJ50" s="43" t="inlineStr">
        <is>
          <t>QA</t>
        </is>
      </c>
      <c r="AK50" s="16" t="n"/>
      <c r="AL50" s="38" t="n"/>
      <c r="AN50" s="38" t="n"/>
      <c r="AP50" s="38" t="n"/>
      <c r="AR50" s="38" t="n"/>
      <c r="AT50" s="38" t="n"/>
      <c r="AV50" s="38" t="n"/>
      <c r="AX50" s="38" t="n"/>
      <c r="AZ50" s="38" t="n"/>
      <c r="BB50" s="38" t="n"/>
      <c r="BD50" s="38" t="n"/>
      <c r="BF50" s="38" t="n"/>
      <c r="BH50" s="38" t="n"/>
      <c r="BJ50" s="38" t="n"/>
      <c r="BL50" s="38" t="n"/>
      <c r="BN50" s="38" t="n"/>
      <c r="BP50" s="38" t="n"/>
      <c r="BR50" s="39" t="n"/>
      <c r="BT50" s="38" t="n"/>
      <c r="BV50" s="38" t="n"/>
      <c r="BX50" s="38" t="n"/>
      <c r="BZ50" s="38" t="n"/>
      <c r="CB50" s="38" t="n"/>
      <c r="CD50" s="38" t="n"/>
      <c r="CF50" s="38" t="n"/>
      <c r="CH50" s="38" t="n"/>
      <c r="CJ50" s="38" t="n"/>
    </row>
    <row r="51">
      <c r="A51" s="28" t="inlineStr">
        <is>
          <t>Board Goal</t>
        </is>
      </c>
      <c r="B51" s="28" t="inlineStr">
        <is>
          <t>MTU</t>
        </is>
      </c>
      <c r="C51" s="34" t="inlineStr">
        <is>
          <t>#5 Reduce subscription cancellations</t>
        </is>
      </c>
      <c r="D51" s="28" t="inlineStr">
        <is>
          <t>High</t>
        </is>
      </c>
      <c r="E51" s="28" t="inlineStr">
        <is>
          <t>Q1</t>
        </is>
      </c>
      <c r="F51" s="28" t="inlineStr">
        <is>
          <t>Planned</t>
        </is>
      </c>
      <c r="G51" s="28" t="inlineStr">
        <is>
          <t>L</t>
        </is>
      </c>
      <c r="H51" s="28" t="inlineStr"/>
      <c r="I51" s="28" t="inlineStr"/>
      <c r="J51" s="28" t="inlineStr"/>
      <c r="K51" s="28" t="inlineStr"/>
      <c r="L51" s="28" t="inlineStr"/>
      <c r="M51" s="28" t="inlineStr"/>
      <c r="N51" s="28" t="inlineStr"/>
      <c r="O51" s="28" t="inlineStr"/>
      <c r="P51" s="28" t="inlineStr">
        <is>
          <t>PM</t>
        </is>
      </c>
      <c r="Q51" s="28" t="inlineStr"/>
      <c r="R51" s="35" t="n"/>
      <c r="T51" s="44" t="inlineStr">
        <is>
          <t>PM</t>
        </is>
      </c>
      <c r="U51" s="11" t="n"/>
      <c r="V51" s="51" t="n"/>
      <c r="X51" s="35" t="n"/>
      <c r="Z51" s="35" t="n"/>
      <c r="AB51" s="35" t="n"/>
      <c r="AD51" s="35" t="n"/>
      <c r="AF51" s="35" t="n"/>
      <c r="AH51" s="35" t="n"/>
      <c r="AJ51" s="35" t="n"/>
      <c r="AL51" s="35" t="n"/>
      <c r="AN51" s="35" t="n"/>
      <c r="AP51" s="35" t="n"/>
      <c r="AR51" s="35" t="n"/>
      <c r="AT51" s="35" t="n"/>
      <c r="AV51" s="35" t="n"/>
      <c r="AX51" s="35" t="n"/>
      <c r="AZ51" s="35" t="n"/>
      <c r="BB51" s="35" t="n"/>
      <c r="BD51" s="35" t="n"/>
      <c r="BF51" s="35" t="n"/>
      <c r="BH51" s="35" t="n"/>
      <c r="BJ51" s="35" t="n"/>
      <c r="BL51" s="35" t="n"/>
      <c r="BN51" s="35" t="n"/>
      <c r="BP51" s="35" t="n"/>
      <c r="BR51" s="36" t="n"/>
      <c r="BT51" s="35" t="n"/>
      <c r="BV51" s="35" t="n"/>
      <c r="BX51" s="35" t="n"/>
      <c r="BZ51" s="35" t="n"/>
      <c r="CB51" s="35" t="n"/>
      <c r="CD51" s="35" t="n"/>
      <c r="CF51" s="35" t="n"/>
      <c r="CH51" s="35" t="n"/>
      <c r="CJ51" s="35" t="n"/>
    </row>
    <row r="52">
      <c r="A52" s="31" t="n"/>
      <c r="B52" s="31" t="n"/>
      <c r="C52" s="37" t="inlineStr">
        <is>
          <t>14 Sep 2026 to 14 Feb 2027</t>
        </is>
      </c>
      <c r="D52" s="31" t="n"/>
      <c r="E52" s="31" t="n"/>
      <c r="F52" s="31" t="n"/>
      <c r="G52" s="31" t="n"/>
      <c r="H52" s="31" t="n"/>
      <c r="I52" s="31" t="n"/>
      <c r="J52" s="31" t="n"/>
      <c r="K52" s="31" t="n"/>
      <c r="L52" s="31" t="n"/>
      <c r="M52" s="31" t="n"/>
      <c r="N52" s="31" t="n"/>
      <c r="O52" s="31" t="n"/>
      <c r="P52" s="31" t="inlineStr">
        <is>
          <t>Dsgn</t>
        </is>
      </c>
      <c r="Q52" s="31" t="inlineStr"/>
      <c r="R52" s="38" t="n"/>
      <c r="T52" s="38" t="n"/>
      <c r="V52" s="38" t="n"/>
      <c r="W52" s="52" t="inlineStr">
        <is>
          <t>Dsgn</t>
        </is>
      </c>
      <c r="X52" s="53" t="n"/>
      <c r="Y52" s="12" t="n"/>
      <c r="Z52" s="38" t="n"/>
      <c r="AB52" s="38" t="n"/>
      <c r="AD52" s="38" t="n"/>
      <c r="AF52" s="38" t="n"/>
      <c r="AH52" s="38" t="n"/>
      <c r="AJ52" s="38" t="n"/>
      <c r="AL52" s="38" t="n"/>
      <c r="AN52" s="38" t="n"/>
      <c r="AP52" s="38" t="n"/>
      <c r="AR52" s="38" t="n"/>
      <c r="AT52" s="38" t="n"/>
      <c r="AV52" s="38" t="n"/>
      <c r="AX52" s="38" t="n"/>
      <c r="AZ52" s="38" t="n"/>
      <c r="BB52" s="38" t="n"/>
      <c r="BD52" s="38" t="n"/>
      <c r="BF52" s="38" t="n"/>
      <c r="BH52" s="38" t="n"/>
      <c r="BJ52" s="38" t="n"/>
      <c r="BL52" s="38" t="n"/>
      <c r="BN52" s="38" t="n"/>
      <c r="BP52" s="38" t="n"/>
      <c r="BR52" s="39" t="n"/>
      <c r="BT52" s="38" t="n"/>
      <c r="BV52" s="38" t="n"/>
      <c r="BX52" s="38" t="n"/>
      <c r="BZ52" s="38" t="n"/>
      <c r="CB52" s="38" t="n"/>
      <c r="CD52" s="38" t="n"/>
      <c r="CF52" s="38" t="n"/>
      <c r="CH52" s="38" t="n"/>
      <c r="CJ52" s="38" t="n"/>
    </row>
    <row r="53">
      <c r="A53" s="31" t="n"/>
      <c r="B53" s="31" t="n"/>
      <c r="C53" s="40" t="inlineStr">
        <is>
          <t>BE M (2 FTE spr) · App L (4 FTE spr) · Design M</t>
        </is>
      </c>
      <c r="D53" s="31" t="n"/>
      <c r="E53" s="31" t="n"/>
      <c r="F53" s="31" t="n"/>
      <c r="G53" s="31" t="n"/>
      <c r="H53" s="31" t="n"/>
      <c r="I53" s="31" t="n"/>
      <c r="J53" s="31" t="n"/>
      <c r="K53" s="31" t="n"/>
      <c r="L53" s="31" t="n"/>
      <c r="M53" s="31" t="n"/>
      <c r="N53" s="31" t="n"/>
      <c r="O53" s="31" t="n"/>
      <c r="P53" s="31" t="inlineStr">
        <is>
          <t>TPM</t>
        </is>
      </c>
      <c r="Q53" s="31" t="inlineStr"/>
      <c r="R53" s="38" t="n"/>
      <c r="T53" s="38" t="n"/>
      <c r="V53" s="38" t="n"/>
      <c r="X53" s="38" t="n"/>
      <c r="Z53" s="48" t="inlineStr">
        <is>
          <t>TPM</t>
        </is>
      </c>
      <c r="AA53" s="13" t="n"/>
      <c r="AB53" s="38" t="n"/>
      <c r="AD53" s="38" t="n"/>
      <c r="AF53" s="38" t="n"/>
      <c r="AH53" s="38" t="n"/>
      <c r="AJ53" s="38" t="n"/>
      <c r="AL53" s="38" t="n"/>
      <c r="AN53" s="38" t="n"/>
      <c r="AP53" s="38" t="n"/>
      <c r="AR53" s="38" t="n"/>
      <c r="AT53" s="38" t="n"/>
      <c r="AV53" s="38" t="n"/>
      <c r="AX53" s="38" t="n"/>
      <c r="AZ53" s="38" t="n"/>
      <c r="BB53" s="38" t="n"/>
      <c r="BD53" s="38" t="n"/>
      <c r="BF53" s="38" t="n"/>
      <c r="BH53" s="38" t="n"/>
      <c r="BJ53" s="38" t="n"/>
      <c r="BL53" s="38" t="n"/>
      <c r="BN53" s="38" t="n"/>
      <c r="BP53" s="38" t="n"/>
      <c r="BR53" s="39" t="n"/>
      <c r="BT53" s="38" t="n"/>
      <c r="BV53" s="38" t="n"/>
      <c r="BX53" s="38" t="n"/>
      <c r="BZ53" s="38" t="n"/>
      <c r="CB53" s="38" t="n"/>
      <c r="CD53" s="38" t="n"/>
      <c r="CF53" s="38" t="n"/>
      <c r="CH53" s="38" t="n"/>
      <c r="CJ53" s="38" t="n"/>
    </row>
    <row r="54">
      <c r="A54" s="31" t="n"/>
      <c r="B54" s="31" t="n"/>
      <c r="C54" s="41">
        <f>HYPERLINK("https://app.asana.com/1/8556634603607/project/1215564565348002/task/1218156225083577","Asana task")</f>
        <v/>
      </c>
      <c r="D54" s="31" t="n"/>
      <c r="E54" s="31" t="n"/>
      <c r="F54" s="31" t="n"/>
      <c r="G54" s="31" t="n"/>
      <c r="H54" s="31" t="n"/>
      <c r="I54" s="31" t="n"/>
      <c r="J54" s="31" t="n"/>
      <c r="K54" s="31" t="n"/>
      <c r="L54" s="31" t="n"/>
      <c r="M54" s="31" t="n"/>
      <c r="N54" s="31" t="n"/>
      <c r="O54" s="31" t="n"/>
      <c r="P54" s="31" t="inlineStr">
        <is>
          <t>BE</t>
        </is>
      </c>
      <c r="Q54" s="31" t="n">
        <v>1</v>
      </c>
      <c r="R54" s="38" t="n"/>
      <c r="T54" s="38" t="n"/>
      <c r="V54" s="38" t="n"/>
      <c r="X54" s="38" t="n"/>
      <c r="Z54" s="38" t="n"/>
      <c r="AB54" s="42" t="inlineStr">
        <is>
          <t>BE</t>
        </is>
      </c>
      <c r="AC54" s="14" t="n"/>
      <c r="AD54" s="46" t="n"/>
      <c r="AE54" s="14" t="n"/>
      <c r="AF54" s="38" t="n"/>
      <c r="AH54" s="38" t="n"/>
      <c r="AJ54" s="38" t="n"/>
      <c r="AL54" s="38" t="n"/>
      <c r="AN54" s="38" t="n"/>
      <c r="AP54" s="38" t="n"/>
      <c r="AR54" s="38" t="n"/>
      <c r="AT54" s="38" t="n"/>
      <c r="AV54" s="38" t="n"/>
      <c r="AX54" s="38" t="n"/>
      <c r="AZ54" s="38" t="n"/>
      <c r="BB54" s="38" t="n"/>
      <c r="BD54" s="38" t="n"/>
      <c r="BF54" s="38" t="n"/>
      <c r="BH54" s="38" t="n"/>
      <c r="BJ54" s="38" t="n"/>
      <c r="BL54" s="38" t="n"/>
      <c r="BN54" s="38" t="n"/>
      <c r="BP54" s="38" t="n"/>
      <c r="BR54" s="39" t="n"/>
      <c r="BT54" s="38" t="n"/>
      <c r="BV54" s="38" t="n"/>
      <c r="BX54" s="38" t="n"/>
      <c r="BZ54" s="38" t="n"/>
      <c r="CB54" s="38" t="n"/>
      <c r="CD54" s="38" t="n"/>
      <c r="CF54" s="38" t="n"/>
      <c r="CH54" s="38" t="n"/>
      <c r="CJ54" s="38" t="n"/>
    </row>
    <row r="55">
      <c r="A55" s="31" t="n"/>
      <c r="B55" s="31" t="n"/>
      <c r="C55" s="31" t="n"/>
      <c r="D55" s="31" t="n"/>
      <c r="E55" s="31" t="n"/>
      <c r="F55" s="31" t="n"/>
      <c r="G55" s="31" t="n"/>
      <c r="H55" s="31" t="n"/>
      <c r="I55" s="31" t="n"/>
      <c r="J55" s="31" t="n"/>
      <c r="K55" s="31" t="n"/>
      <c r="L55" s="31" t="n"/>
      <c r="M55" s="31" t="n"/>
      <c r="N55" s="31" t="n"/>
      <c r="O55" s="31" t="n"/>
      <c r="P55" s="31" t="inlineStr">
        <is>
          <t>App</t>
        </is>
      </c>
      <c r="Q55" s="31" t="n">
        <v>2</v>
      </c>
      <c r="R55" s="38" t="n"/>
      <c r="T55" s="38" t="n"/>
      <c r="V55" s="38" t="n"/>
      <c r="X55" s="38" t="n"/>
      <c r="Z55" s="38" t="n"/>
      <c r="AB55" s="38" t="n"/>
      <c r="AD55" s="38" t="n"/>
      <c r="AF55" s="38" t="n"/>
      <c r="AH55" s="38" t="n"/>
      <c r="AJ55" s="49" t="inlineStr">
        <is>
          <t>App</t>
        </is>
      </c>
      <c r="AK55" s="15" t="n"/>
      <c r="AL55" s="54" t="n"/>
      <c r="AM55" s="15" t="n"/>
      <c r="AN55" s="38" t="n"/>
      <c r="AP55" s="38" t="n"/>
      <c r="AR55" s="38" t="n"/>
      <c r="AT55" s="38" t="n"/>
      <c r="AV55" s="38" t="n"/>
      <c r="AX55" s="38" t="n"/>
      <c r="AZ55" s="38" t="n"/>
      <c r="BB55" s="38" t="n"/>
      <c r="BD55" s="38" t="n"/>
      <c r="BF55" s="38" t="n"/>
      <c r="BH55" s="38" t="n"/>
      <c r="BJ55" s="38" t="n"/>
      <c r="BL55" s="38" t="n"/>
      <c r="BN55" s="38" t="n"/>
      <c r="BP55" s="38" t="n"/>
      <c r="BR55" s="39" t="n"/>
      <c r="BT55" s="38" t="n"/>
      <c r="BV55" s="38" t="n"/>
      <c r="BX55" s="38" t="n"/>
      <c r="BZ55" s="38" t="n"/>
      <c r="CB55" s="38" t="n"/>
      <c r="CD55" s="38" t="n"/>
      <c r="CF55" s="38" t="n"/>
      <c r="CH55" s="38" t="n"/>
      <c r="CJ55" s="38" t="n"/>
    </row>
    <row r="56">
      <c r="A56" s="31" t="n"/>
      <c r="B56" s="31" t="n"/>
      <c r="C56" s="31" t="n"/>
      <c r="D56" s="31" t="n"/>
      <c r="E56" s="31" t="n"/>
      <c r="F56" s="31" t="n"/>
      <c r="G56" s="31" t="n"/>
      <c r="H56" s="31" t="n"/>
      <c r="I56" s="31" t="n"/>
      <c r="J56" s="31" t="n"/>
      <c r="K56" s="31" t="n"/>
      <c r="L56" s="31" t="n"/>
      <c r="M56" s="31" t="n"/>
      <c r="N56" s="31" t="n"/>
      <c r="O56" s="31" t="n"/>
      <c r="P56" s="31" t="inlineStr">
        <is>
          <t>QA</t>
        </is>
      </c>
      <c r="Q56" s="31" t="inlineStr"/>
      <c r="R56" s="38" t="n"/>
      <c r="T56" s="38" t="n"/>
      <c r="V56" s="38" t="n"/>
      <c r="X56" s="38" t="n"/>
      <c r="Z56" s="38" t="n"/>
      <c r="AB56" s="38" t="n"/>
      <c r="AD56" s="38" t="n"/>
      <c r="AF56" s="38" t="n"/>
      <c r="AH56" s="38" t="n"/>
      <c r="AJ56" s="38" t="n"/>
      <c r="AL56" s="38" t="n"/>
      <c r="AN56" s="43" t="inlineStr">
        <is>
          <t>QA</t>
        </is>
      </c>
      <c r="AO56" s="16" t="n"/>
      <c r="AP56" s="38" t="n"/>
      <c r="AR56" s="38" t="n"/>
      <c r="AT56" s="38" t="n"/>
      <c r="AV56" s="38" t="n"/>
      <c r="AX56" s="38" t="n"/>
      <c r="AZ56" s="38" t="n"/>
      <c r="BB56" s="38" t="n"/>
      <c r="BD56" s="38" t="n"/>
      <c r="BF56" s="38" t="n"/>
      <c r="BH56" s="38" t="n"/>
      <c r="BJ56" s="38" t="n"/>
      <c r="BL56" s="38" t="n"/>
      <c r="BN56" s="38" t="n"/>
      <c r="BP56" s="38" t="n"/>
      <c r="BR56" s="39" t="n"/>
      <c r="BT56" s="38" t="n"/>
      <c r="BV56" s="38" t="n"/>
      <c r="BX56" s="38" t="n"/>
      <c r="BZ56" s="38" t="n"/>
      <c r="CB56" s="38" t="n"/>
      <c r="CD56" s="38" t="n"/>
      <c r="CF56" s="38" t="n"/>
      <c r="CH56" s="38" t="n"/>
      <c r="CJ56" s="38" t="n"/>
    </row>
    <row r="57">
      <c r="A57" s="28" t="inlineStr">
        <is>
          <t>Business Goal</t>
        </is>
      </c>
      <c r="B57" s="28" t="inlineStr">
        <is>
          <t>MTU</t>
        </is>
      </c>
      <c r="C57" s="34" t="inlineStr">
        <is>
          <t>#6 Cross-sell 2.0: Engager cards on the MTU home page</t>
        </is>
      </c>
      <c r="D57" s="28" t="inlineStr">
        <is>
          <t>Medium</t>
        </is>
      </c>
      <c r="E57" s="28" t="inlineStr">
        <is>
          <t>Q1</t>
        </is>
      </c>
      <c r="F57" s="28" t="inlineStr">
        <is>
          <t>Planned</t>
        </is>
      </c>
      <c r="G57" s="28" t="inlineStr">
        <is>
          <t>M</t>
        </is>
      </c>
      <c r="H57" s="28" t="inlineStr"/>
      <c r="I57" s="28" t="inlineStr"/>
      <c r="J57" s="28" t="inlineStr"/>
      <c r="K57" s="28" t="inlineStr"/>
      <c r="L57" s="28" t="inlineStr"/>
      <c r="M57" s="28" t="inlineStr"/>
      <c r="N57" s="28" t="inlineStr"/>
      <c r="O57" s="28" t="inlineStr"/>
      <c r="P57" s="28" t="inlineStr">
        <is>
          <t>PM</t>
        </is>
      </c>
      <c r="Q57" s="28" t="inlineStr"/>
      <c r="R57" s="35" t="n"/>
      <c r="T57" s="35" t="n"/>
      <c r="U57" s="50" t="inlineStr">
        <is>
          <t>PM</t>
        </is>
      </c>
      <c r="V57" s="51" t="n"/>
      <c r="X57" s="35" t="n"/>
      <c r="Z57" s="35" t="n"/>
      <c r="AB57" s="35" t="n"/>
      <c r="AD57" s="35" t="n"/>
      <c r="AF57" s="35" t="n"/>
      <c r="AH57" s="35" t="n"/>
      <c r="AJ57" s="35" t="n"/>
      <c r="AL57" s="35" t="n"/>
      <c r="AN57" s="35" t="n"/>
      <c r="AP57" s="35" t="n"/>
      <c r="AR57" s="35" t="n"/>
      <c r="AT57" s="35" t="n"/>
      <c r="AV57" s="35" t="n"/>
      <c r="AX57" s="35" t="n"/>
      <c r="AZ57" s="35" t="n"/>
      <c r="BB57" s="35" t="n"/>
      <c r="BD57" s="35" t="n"/>
      <c r="BF57" s="35" t="n"/>
      <c r="BH57" s="35" t="n"/>
      <c r="BJ57" s="35" t="n"/>
      <c r="BL57" s="35" t="n"/>
      <c r="BN57" s="35" t="n"/>
      <c r="BP57" s="35" t="n"/>
      <c r="BR57" s="36" t="n"/>
      <c r="BT57" s="35" t="n"/>
      <c r="BV57" s="35" t="n"/>
      <c r="BX57" s="35" t="n"/>
      <c r="BZ57" s="35" t="n"/>
      <c r="CB57" s="35" t="n"/>
      <c r="CD57" s="35" t="n"/>
      <c r="CF57" s="35" t="n"/>
      <c r="CH57" s="35" t="n"/>
      <c r="CJ57" s="35" t="n"/>
    </row>
    <row r="58">
      <c r="A58" s="31" t="n"/>
      <c r="B58" s="31" t="n"/>
      <c r="C58" s="37" t="inlineStr">
        <is>
          <t>21 Sep 2026 to 7 Mar 2027</t>
        </is>
      </c>
      <c r="D58" s="31" t="n"/>
      <c r="E58" s="31" t="n"/>
      <c r="F58" s="31" t="n"/>
      <c r="G58" s="31" t="n"/>
      <c r="H58" s="31" t="n"/>
      <c r="I58" s="31" t="n"/>
      <c r="J58" s="31" t="n"/>
      <c r="K58" s="31" t="n"/>
      <c r="L58" s="31" t="n"/>
      <c r="M58" s="31" t="n"/>
      <c r="N58" s="31" t="n"/>
      <c r="O58" s="31" t="n"/>
      <c r="P58" s="31" t="inlineStr">
        <is>
          <t>Dsgn</t>
        </is>
      </c>
      <c r="Q58" s="31" t="inlineStr"/>
      <c r="R58" s="38" t="n"/>
      <c r="T58" s="38" t="n"/>
      <c r="V58" s="38" t="n"/>
      <c r="X58" s="47" t="inlineStr">
        <is>
          <t>Dsgn</t>
        </is>
      </c>
      <c r="Y58" s="12" t="n"/>
      <c r="Z58" s="38" t="n"/>
      <c r="AB58" s="38" t="n"/>
      <c r="AD58" s="38" t="n"/>
      <c r="AF58" s="38" t="n"/>
      <c r="AH58" s="38" t="n"/>
      <c r="AJ58" s="38" t="n"/>
      <c r="AL58" s="38" t="n"/>
      <c r="AN58" s="38" t="n"/>
      <c r="AP58" s="38" t="n"/>
      <c r="AR58" s="38" t="n"/>
      <c r="AT58" s="38" t="n"/>
      <c r="AV58" s="38" t="n"/>
      <c r="AX58" s="38" t="n"/>
      <c r="AZ58" s="38" t="n"/>
      <c r="BB58" s="38" t="n"/>
      <c r="BD58" s="38" t="n"/>
      <c r="BF58" s="38" t="n"/>
      <c r="BH58" s="38" t="n"/>
      <c r="BJ58" s="38" t="n"/>
      <c r="BL58" s="38" t="n"/>
      <c r="BN58" s="38" t="n"/>
      <c r="BP58" s="38" t="n"/>
      <c r="BR58" s="39" t="n"/>
      <c r="BT58" s="38" t="n"/>
      <c r="BV58" s="38" t="n"/>
      <c r="BX58" s="38" t="n"/>
      <c r="BZ58" s="38" t="n"/>
      <c r="CB58" s="38" t="n"/>
      <c r="CD58" s="38" t="n"/>
      <c r="CF58" s="38" t="n"/>
      <c r="CH58" s="38" t="n"/>
      <c r="CJ58" s="38" t="n"/>
    </row>
    <row r="59">
      <c r="A59" s="31" t="n"/>
      <c r="B59" s="31" t="n"/>
      <c r="C59" s="40" t="inlineStr">
        <is>
          <t>BE S (1 FTE spr) · App M (2 FTE spr) · Design S</t>
        </is>
      </c>
      <c r="D59" s="31" t="n"/>
      <c r="E59" s="31" t="n"/>
      <c r="F59" s="31" t="n"/>
      <c r="G59" s="31" t="n"/>
      <c r="H59" s="31" t="n"/>
      <c r="I59" s="31" t="n"/>
      <c r="J59" s="31" t="n"/>
      <c r="K59" s="31" t="n"/>
      <c r="L59" s="31" t="n"/>
      <c r="M59" s="31" t="n"/>
      <c r="N59" s="31" t="n"/>
      <c r="O59" s="31" t="n"/>
      <c r="P59" s="31" t="inlineStr">
        <is>
          <t>TPM</t>
        </is>
      </c>
      <c r="Q59" s="31" t="inlineStr"/>
      <c r="R59" s="38" t="n"/>
      <c r="T59" s="38" t="n"/>
      <c r="V59" s="38" t="n"/>
      <c r="X59" s="38" t="n"/>
      <c r="Z59" s="48" t="inlineStr">
        <is>
          <t>TPM</t>
        </is>
      </c>
      <c r="AB59" s="38" t="n"/>
      <c r="AD59" s="38" t="n"/>
      <c r="AF59" s="38" t="n"/>
      <c r="AH59" s="38" t="n"/>
      <c r="AJ59" s="38" t="n"/>
      <c r="AL59" s="38" t="n"/>
      <c r="AN59" s="38" t="n"/>
      <c r="AP59" s="38" t="n"/>
      <c r="AR59" s="38" t="n"/>
      <c r="AT59" s="38" t="n"/>
      <c r="AV59" s="38" t="n"/>
      <c r="AX59" s="38" t="n"/>
      <c r="AZ59" s="38" t="n"/>
      <c r="BB59" s="38" t="n"/>
      <c r="BD59" s="38" t="n"/>
      <c r="BF59" s="38" t="n"/>
      <c r="BH59" s="38" t="n"/>
      <c r="BJ59" s="38" t="n"/>
      <c r="BL59" s="38" t="n"/>
      <c r="BN59" s="38" t="n"/>
      <c r="BP59" s="38" t="n"/>
      <c r="BR59" s="39" t="n"/>
      <c r="BT59" s="38" t="n"/>
      <c r="BV59" s="38" t="n"/>
      <c r="BX59" s="38" t="n"/>
      <c r="BZ59" s="38" t="n"/>
      <c r="CB59" s="38" t="n"/>
      <c r="CD59" s="38" t="n"/>
      <c r="CF59" s="38" t="n"/>
      <c r="CH59" s="38" t="n"/>
      <c r="CJ59" s="38" t="n"/>
    </row>
    <row r="60">
      <c r="A60" s="31" t="n"/>
      <c r="B60" s="31" t="n"/>
      <c r="C60" s="41">
        <f>HYPERLINK("https://app.asana.com/1/8556634603607/project/1215564565348002/task/1215922468293595","Asana task")</f>
        <v/>
      </c>
      <c r="D60" s="31" t="n"/>
      <c r="E60" s="31" t="n"/>
      <c r="F60" s="31" t="n"/>
      <c r="G60" s="31" t="n"/>
      <c r="H60" s="31" t="n"/>
      <c r="I60" s="31" t="n"/>
      <c r="J60" s="31" t="n"/>
      <c r="K60" s="31" t="n"/>
      <c r="L60" s="31" t="n"/>
      <c r="M60" s="31" t="n"/>
      <c r="N60" s="31" t="n"/>
      <c r="O60" s="31" t="n"/>
      <c r="P60" s="31" t="inlineStr">
        <is>
          <t>BE</t>
        </is>
      </c>
      <c r="Q60" s="31" t="n">
        <v>1</v>
      </c>
      <c r="R60" s="38" t="n"/>
      <c r="T60" s="38" t="n"/>
      <c r="V60" s="38" t="n"/>
      <c r="X60" s="38" t="n"/>
      <c r="Z60" s="38" t="n"/>
      <c r="AB60" s="38" t="n"/>
      <c r="AD60" s="38" t="n"/>
      <c r="AF60" s="42" t="inlineStr">
        <is>
          <t>BE</t>
        </is>
      </c>
      <c r="AG60" s="14" t="n"/>
      <c r="AH60" s="38" t="n"/>
      <c r="AJ60" s="38" t="n"/>
      <c r="AL60" s="38" t="n"/>
      <c r="AN60" s="38" t="n"/>
      <c r="AP60" s="38" t="n"/>
      <c r="AR60" s="38" t="n"/>
      <c r="AT60" s="38" t="n"/>
      <c r="AV60" s="38" t="n"/>
      <c r="AX60" s="38" t="n"/>
      <c r="AZ60" s="38" t="n"/>
      <c r="BB60" s="38" t="n"/>
      <c r="BD60" s="38" t="n"/>
      <c r="BF60" s="38" t="n"/>
      <c r="BH60" s="38" t="n"/>
      <c r="BJ60" s="38" t="n"/>
      <c r="BL60" s="38" t="n"/>
      <c r="BN60" s="38" t="n"/>
      <c r="BP60" s="38" t="n"/>
      <c r="BR60" s="39" t="n"/>
      <c r="BT60" s="38" t="n"/>
      <c r="BV60" s="38" t="n"/>
      <c r="BX60" s="38" t="n"/>
      <c r="BZ60" s="38" t="n"/>
      <c r="CB60" s="38" t="n"/>
      <c r="CD60" s="38" t="n"/>
      <c r="CF60" s="38" t="n"/>
      <c r="CH60" s="38" t="n"/>
      <c r="CJ60" s="38" t="n"/>
    </row>
    <row r="61">
      <c r="A61" s="31" t="n"/>
      <c r="B61" s="31" t="n"/>
      <c r="C61" s="31" t="n"/>
      <c r="D61" s="31" t="n"/>
      <c r="E61" s="31" t="n"/>
      <c r="F61" s="31" t="n"/>
      <c r="G61" s="31" t="n"/>
      <c r="H61" s="31" t="n"/>
      <c r="I61" s="31" t="n"/>
      <c r="J61" s="31" t="n"/>
      <c r="K61" s="31" t="n"/>
      <c r="L61" s="31" t="n"/>
      <c r="M61" s="31" t="n"/>
      <c r="N61" s="31" t="n"/>
      <c r="O61" s="31" t="n"/>
      <c r="P61" s="31" t="inlineStr">
        <is>
          <t>App</t>
        </is>
      </c>
      <c r="Q61" s="31" t="n">
        <v>1</v>
      </c>
      <c r="R61" s="38" t="n"/>
      <c r="T61" s="38" t="n"/>
      <c r="V61" s="38" t="n"/>
      <c r="X61" s="38" t="n"/>
      <c r="Z61" s="38" t="n"/>
      <c r="AB61" s="38" t="n"/>
      <c r="AD61" s="38" t="n"/>
      <c r="AF61" s="38" t="n"/>
      <c r="AH61" s="38" t="n"/>
      <c r="AJ61" s="38" t="n"/>
      <c r="AL61" s="38" t="n"/>
      <c r="AN61" s="49" t="inlineStr">
        <is>
          <t>App</t>
        </is>
      </c>
      <c r="AO61" s="15" t="n"/>
      <c r="AP61" s="54" t="n"/>
      <c r="AQ61" s="15" t="n"/>
      <c r="AR61" s="38" t="n"/>
      <c r="AT61" s="38" t="n"/>
      <c r="AV61" s="38" t="n"/>
      <c r="AX61" s="38" t="n"/>
      <c r="AZ61" s="38" t="n"/>
      <c r="BB61" s="38" t="n"/>
      <c r="BD61" s="38" t="n"/>
      <c r="BF61" s="38" t="n"/>
      <c r="BH61" s="38" t="n"/>
      <c r="BJ61" s="38" t="n"/>
      <c r="BL61" s="38" t="n"/>
      <c r="BN61" s="38" t="n"/>
      <c r="BP61" s="38" t="n"/>
      <c r="BR61" s="39" t="n"/>
      <c r="BT61" s="38" t="n"/>
      <c r="BV61" s="38" t="n"/>
      <c r="BX61" s="38" t="n"/>
      <c r="BZ61" s="38" t="n"/>
      <c r="CB61" s="38" t="n"/>
      <c r="CD61" s="38" t="n"/>
      <c r="CF61" s="38" t="n"/>
      <c r="CH61" s="38" t="n"/>
      <c r="CJ61" s="38" t="n"/>
    </row>
    <row r="62">
      <c r="A62" s="31" t="n"/>
      <c r="B62" s="31" t="n"/>
      <c r="C62" s="31" t="n"/>
      <c r="D62" s="31" t="n"/>
      <c r="E62" s="31" t="n"/>
      <c r="F62" s="31" t="n"/>
      <c r="G62" s="31" t="n"/>
      <c r="H62" s="31" t="n"/>
      <c r="I62" s="31" t="n"/>
      <c r="J62" s="31" t="n"/>
      <c r="K62" s="31" t="n"/>
      <c r="L62" s="31" t="n"/>
      <c r="M62" s="31" t="n"/>
      <c r="N62" s="31" t="n"/>
      <c r="O62" s="31" t="n"/>
      <c r="P62" s="31" t="inlineStr">
        <is>
          <t>QA</t>
        </is>
      </c>
      <c r="Q62" s="31" t="inlineStr"/>
      <c r="R62" s="38" t="n"/>
      <c r="T62" s="38" t="n"/>
      <c r="V62" s="38" t="n"/>
      <c r="X62" s="38" t="n"/>
      <c r="Z62" s="38" t="n"/>
      <c r="AB62" s="38" t="n"/>
      <c r="AD62" s="38" t="n"/>
      <c r="AF62" s="38" t="n"/>
      <c r="AH62" s="38" t="n"/>
      <c r="AJ62" s="38" t="n"/>
      <c r="AL62" s="38" t="n"/>
      <c r="AN62" s="38" t="n"/>
      <c r="AP62" s="38" t="n"/>
      <c r="AR62" s="43" t="inlineStr">
        <is>
          <t>QA</t>
        </is>
      </c>
      <c r="AT62" s="38" t="n"/>
      <c r="AV62" s="38" t="n"/>
      <c r="AX62" s="38" t="n"/>
      <c r="AZ62" s="38" t="n"/>
      <c r="BB62" s="38" t="n"/>
      <c r="BD62" s="38" t="n"/>
      <c r="BF62" s="38" t="n"/>
      <c r="BH62" s="38" t="n"/>
      <c r="BJ62" s="38" t="n"/>
      <c r="BL62" s="38" t="n"/>
      <c r="BN62" s="38" t="n"/>
      <c r="BP62" s="38" t="n"/>
      <c r="BR62" s="39" t="n"/>
      <c r="BT62" s="38" t="n"/>
      <c r="BV62" s="38" t="n"/>
      <c r="BX62" s="38" t="n"/>
      <c r="BZ62" s="38" t="n"/>
      <c r="CB62" s="38" t="n"/>
      <c r="CD62" s="38" t="n"/>
      <c r="CF62" s="38" t="n"/>
      <c r="CH62" s="38" t="n"/>
      <c r="CJ62" s="38" t="n"/>
    </row>
    <row r="63">
      <c r="A63" s="28" t="inlineStr">
        <is>
          <t>Board Goal</t>
        </is>
      </c>
      <c r="B63" s="28" t="inlineStr">
        <is>
          <t>All Products</t>
        </is>
      </c>
      <c r="C63" s="34" t="inlineStr">
        <is>
          <t>#7 Add mobile payments (Apple Pay and Google Pay)</t>
        </is>
      </c>
      <c r="D63" s="28" t="inlineStr">
        <is>
          <t>High</t>
        </is>
      </c>
      <c r="E63" s="28" t="inlineStr">
        <is>
          <t>Q2</t>
        </is>
      </c>
      <c r="F63" s="28" t="inlineStr">
        <is>
          <t>Planned</t>
        </is>
      </c>
      <c r="G63" s="28" t="inlineStr">
        <is>
          <t>L</t>
        </is>
      </c>
      <c r="H63" s="28" t="inlineStr"/>
      <c r="I63" s="28" t="inlineStr"/>
      <c r="J63" s="28" t="inlineStr"/>
      <c r="K63" s="28" t="inlineStr"/>
      <c r="L63" s="28" t="inlineStr"/>
      <c r="M63" s="28" t="inlineStr"/>
      <c r="N63" s="28" t="inlineStr"/>
      <c r="O63" s="28" t="inlineStr"/>
      <c r="P63" s="28" t="inlineStr">
        <is>
          <t>PM</t>
        </is>
      </c>
      <c r="Q63" s="28" t="inlineStr"/>
      <c r="R63" s="35" t="n"/>
      <c r="T63" s="35" t="n"/>
      <c r="V63" s="35" t="n"/>
      <c r="W63" s="50" t="inlineStr">
        <is>
          <t>PM</t>
        </is>
      </c>
      <c r="X63" s="51" t="n"/>
      <c r="Z63" s="35" t="n"/>
      <c r="AB63" s="35" t="n"/>
      <c r="AD63" s="35" t="n"/>
      <c r="AF63" s="35" t="n"/>
      <c r="AH63" s="35" t="n"/>
      <c r="AJ63" s="35" t="n"/>
      <c r="AL63" s="35" t="n"/>
      <c r="AN63" s="35" t="n"/>
      <c r="AP63" s="35" t="n"/>
      <c r="AR63" s="35" t="n"/>
      <c r="AT63" s="35" t="n"/>
      <c r="AV63" s="35" t="n"/>
      <c r="AX63" s="35" t="n"/>
      <c r="AZ63" s="35" t="n"/>
      <c r="BB63" s="35" t="n"/>
      <c r="BD63" s="35" t="n"/>
      <c r="BF63" s="35" t="n"/>
      <c r="BH63" s="35" t="n"/>
      <c r="BJ63" s="35" t="n"/>
      <c r="BL63" s="35" t="n"/>
      <c r="BN63" s="35" t="n"/>
      <c r="BP63" s="35" t="n"/>
      <c r="BR63" s="36" t="n"/>
      <c r="BT63" s="35" t="n"/>
      <c r="BV63" s="35" t="n"/>
      <c r="BX63" s="35" t="n"/>
      <c r="BZ63" s="35" t="n"/>
      <c r="CB63" s="35" t="n"/>
      <c r="CD63" s="35" t="n"/>
      <c r="CF63" s="35" t="n"/>
      <c r="CH63" s="35" t="n"/>
      <c r="CJ63" s="35" t="n"/>
    </row>
    <row r="64">
      <c r="A64" s="31" t="n"/>
      <c r="B64" s="31" t="n"/>
      <c r="C64" s="37" t="inlineStr">
        <is>
          <t>5 Oct 2026 to 18 Apr 2027</t>
        </is>
      </c>
      <c r="D64" s="31" t="n"/>
      <c r="E64" s="31" t="n"/>
      <c r="F64" s="31" t="n"/>
      <c r="G64" s="31" t="n"/>
      <c r="H64" s="31" t="n"/>
      <c r="I64" s="31" t="n"/>
      <c r="J64" s="31" t="n"/>
      <c r="K64" s="31" t="n"/>
      <c r="L64" s="31" t="n"/>
      <c r="M64" s="31" t="n"/>
      <c r="N64" s="31" t="n"/>
      <c r="O64" s="31" t="n"/>
      <c r="P64" s="31" t="inlineStr">
        <is>
          <t>Dsgn</t>
        </is>
      </c>
      <c r="Q64" s="31" t="inlineStr"/>
      <c r="R64" s="38" t="n"/>
      <c r="T64" s="38" t="n"/>
      <c r="V64" s="38" t="n"/>
      <c r="X64" s="38" t="n"/>
      <c r="Z64" s="47" t="inlineStr">
        <is>
          <t>Dsgn</t>
        </is>
      </c>
      <c r="AA64" s="12" t="n"/>
      <c r="AB64" s="38" t="n"/>
      <c r="AD64" s="38" t="n"/>
      <c r="AF64" s="38" t="n"/>
      <c r="AH64" s="38" t="n"/>
      <c r="AJ64" s="38" t="n"/>
      <c r="AL64" s="38" t="n"/>
      <c r="AN64" s="38" t="n"/>
      <c r="AP64" s="38" t="n"/>
      <c r="AR64" s="38" t="n"/>
      <c r="AT64" s="38" t="n"/>
      <c r="AV64" s="38" t="n"/>
      <c r="AX64" s="38" t="n"/>
      <c r="AZ64" s="38" t="n"/>
      <c r="BB64" s="38" t="n"/>
      <c r="BD64" s="38" t="n"/>
      <c r="BF64" s="38" t="n"/>
      <c r="BH64" s="38" t="n"/>
      <c r="BJ64" s="38" t="n"/>
      <c r="BL64" s="38" t="n"/>
      <c r="BN64" s="38" t="n"/>
      <c r="BP64" s="38" t="n"/>
      <c r="BR64" s="39" t="n"/>
      <c r="BT64" s="38" t="n"/>
      <c r="BV64" s="38" t="n"/>
      <c r="BX64" s="38" t="n"/>
      <c r="BZ64" s="38" t="n"/>
      <c r="CB64" s="38" t="n"/>
      <c r="CD64" s="38" t="n"/>
      <c r="CF64" s="38" t="n"/>
      <c r="CH64" s="38" t="n"/>
      <c r="CJ64" s="38" t="n"/>
    </row>
    <row r="65">
      <c r="A65" s="31" t="n"/>
      <c r="B65" s="31" t="n"/>
      <c r="C65" s="40" t="inlineStr">
        <is>
          <t>BE L (4 FTE spr) · App L (4 FTE spr) · Design S</t>
        </is>
      </c>
      <c r="D65" s="31" t="n"/>
      <c r="E65" s="31" t="n"/>
      <c r="F65" s="31" t="n"/>
      <c r="G65" s="31" t="n"/>
      <c r="H65" s="31" t="n"/>
      <c r="I65" s="31" t="n"/>
      <c r="J65" s="31" t="n"/>
      <c r="K65" s="31" t="n"/>
      <c r="L65" s="31" t="n"/>
      <c r="M65" s="31" t="n"/>
      <c r="N65" s="31" t="n"/>
      <c r="O65" s="31" t="n"/>
      <c r="P65" s="31" t="inlineStr">
        <is>
          <t>TPM</t>
        </is>
      </c>
      <c r="Q65" s="31" t="inlineStr"/>
      <c r="R65" s="38" t="n"/>
      <c r="T65" s="38" t="n"/>
      <c r="V65" s="38" t="n"/>
      <c r="X65" s="38" t="n"/>
      <c r="Z65" s="38" t="n"/>
      <c r="AB65" s="48" t="inlineStr">
        <is>
          <t>TPM</t>
        </is>
      </c>
      <c r="AC65" s="13" t="n"/>
      <c r="AD65" s="38" t="n"/>
      <c r="AF65" s="38" t="n"/>
      <c r="AH65" s="38" t="n"/>
      <c r="AJ65" s="38" t="n"/>
      <c r="AL65" s="38" t="n"/>
      <c r="AN65" s="38" t="n"/>
      <c r="AP65" s="38" t="n"/>
      <c r="AR65" s="38" t="n"/>
      <c r="AT65" s="38" t="n"/>
      <c r="AV65" s="38" t="n"/>
      <c r="AX65" s="38" t="n"/>
      <c r="AZ65" s="38" t="n"/>
      <c r="BB65" s="38" t="n"/>
      <c r="BD65" s="38" t="n"/>
      <c r="BF65" s="38" t="n"/>
      <c r="BH65" s="38" t="n"/>
      <c r="BJ65" s="38" t="n"/>
      <c r="BL65" s="38" t="n"/>
      <c r="BN65" s="38" t="n"/>
      <c r="BP65" s="38" t="n"/>
      <c r="BR65" s="39" t="n"/>
      <c r="BT65" s="38" t="n"/>
      <c r="BV65" s="38" t="n"/>
      <c r="BX65" s="38" t="n"/>
      <c r="BZ65" s="38" t="n"/>
      <c r="CB65" s="38" t="n"/>
      <c r="CD65" s="38" t="n"/>
      <c r="CF65" s="38" t="n"/>
      <c r="CH65" s="38" t="n"/>
      <c r="CJ65" s="38" t="n"/>
    </row>
    <row r="66">
      <c r="A66" s="31" t="n"/>
      <c r="B66" s="31" t="n"/>
      <c r="C66" s="41">
        <f>HYPERLINK("https://app.asana.com/1/8556634603607/project/1215564565348002/task/1218156429240276","Asana task")</f>
        <v/>
      </c>
      <c r="D66" s="31" t="n"/>
      <c r="E66" s="31" t="n"/>
      <c r="F66" s="31" t="n"/>
      <c r="G66" s="31" t="n"/>
      <c r="H66" s="31" t="n"/>
      <c r="I66" s="31" t="n"/>
      <c r="J66" s="31" t="n"/>
      <c r="K66" s="31" t="n"/>
      <c r="L66" s="31" t="n"/>
      <c r="M66" s="31" t="n"/>
      <c r="N66" s="31" t="n"/>
      <c r="O66" s="31" t="n"/>
      <c r="P66" s="31" t="inlineStr">
        <is>
          <t>BE</t>
        </is>
      </c>
      <c r="Q66" s="31" t="n">
        <v>2</v>
      </c>
      <c r="R66" s="38" t="n"/>
      <c r="T66" s="38" t="n"/>
      <c r="V66" s="38" t="n"/>
      <c r="X66" s="38" t="n"/>
      <c r="Z66" s="38" t="n"/>
      <c r="AB66" s="38" t="n"/>
      <c r="AD66" s="38" t="n"/>
      <c r="AF66" s="38" t="n"/>
      <c r="AH66" s="42" t="inlineStr">
        <is>
          <t>BE</t>
        </is>
      </c>
      <c r="AI66" s="14" t="n"/>
      <c r="AJ66" s="46" t="n"/>
      <c r="AK66" s="14" t="n"/>
      <c r="AL66" s="38" t="n"/>
      <c r="AN66" s="38" t="n"/>
      <c r="AP66" s="38" t="n"/>
      <c r="AR66" s="38" t="n"/>
      <c r="AT66" s="38" t="n"/>
      <c r="AV66" s="38" t="n"/>
      <c r="AX66" s="38" t="n"/>
      <c r="AZ66" s="38" t="n"/>
      <c r="BB66" s="38" t="n"/>
      <c r="BD66" s="38" t="n"/>
      <c r="BF66" s="38" t="n"/>
      <c r="BH66" s="38" t="n"/>
      <c r="BJ66" s="38" t="n"/>
      <c r="BL66" s="38" t="n"/>
      <c r="BN66" s="38" t="n"/>
      <c r="BP66" s="38" t="n"/>
      <c r="BR66" s="39" t="n"/>
      <c r="BT66" s="38" t="n"/>
      <c r="BV66" s="38" t="n"/>
      <c r="BX66" s="38" t="n"/>
      <c r="BZ66" s="38" t="n"/>
      <c r="CB66" s="38" t="n"/>
      <c r="CD66" s="38" t="n"/>
      <c r="CF66" s="38" t="n"/>
      <c r="CH66" s="38" t="n"/>
      <c r="CJ66" s="38" t="n"/>
    </row>
    <row r="67">
      <c r="A67" s="31" t="n"/>
      <c r="B67" s="31" t="n"/>
      <c r="C67" s="31" t="n"/>
      <c r="D67" s="31" t="n"/>
      <c r="E67" s="31" t="n"/>
      <c r="F67" s="31" t="n"/>
      <c r="G67" s="31" t="n"/>
      <c r="H67" s="31" t="n"/>
      <c r="I67" s="31" t="n"/>
      <c r="J67" s="31" t="n"/>
      <c r="K67" s="31" t="n"/>
      <c r="L67" s="31" t="n"/>
      <c r="M67" s="31" t="n"/>
      <c r="N67" s="31" t="n"/>
      <c r="O67" s="31" t="n"/>
      <c r="P67" s="31" t="inlineStr">
        <is>
          <t>App</t>
        </is>
      </c>
      <c r="Q67" s="31" t="n">
        <v>2</v>
      </c>
      <c r="R67" s="38" t="n"/>
      <c r="T67" s="38" t="n"/>
      <c r="V67" s="38" t="n"/>
      <c r="X67" s="38" t="n"/>
      <c r="Z67" s="38" t="n"/>
      <c r="AB67" s="38" t="n"/>
      <c r="AD67" s="38" t="n"/>
      <c r="AF67" s="38" t="n"/>
      <c r="AH67" s="38" t="n"/>
      <c r="AJ67" s="38" t="n"/>
      <c r="AL67" s="38" t="n"/>
      <c r="AN67" s="38" t="n"/>
      <c r="AP67" s="38" t="n"/>
      <c r="AR67" s="49" t="inlineStr">
        <is>
          <t>App</t>
        </is>
      </c>
      <c r="AS67" s="15" t="n"/>
      <c r="AT67" s="54" t="n"/>
      <c r="AU67" s="15" t="n"/>
      <c r="AV67" s="38" t="n"/>
      <c r="AX67" s="38" t="n"/>
      <c r="AZ67" s="38" t="n"/>
      <c r="BB67" s="38" t="n"/>
      <c r="BD67" s="38" t="n"/>
      <c r="BF67" s="38" t="n"/>
      <c r="BH67" s="38" t="n"/>
      <c r="BJ67" s="38" t="n"/>
      <c r="BL67" s="38" t="n"/>
      <c r="BN67" s="38" t="n"/>
      <c r="BP67" s="38" t="n"/>
      <c r="BR67" s="39" t="n"/>
      <c r="BT67" s="38" t="n"/>
      <c r="BV67" s="38" t="n"/>
      <c r="BX67" s="38" t="n"/>
      <c r="BZ67" s="38" t="n"/>
      <c r="CB67" s="38" t="n"/>
      <c r="CD67" s="38" t="n"/>
      <c r="CF67" s="38" t="n"/>
      <c r="CH67" s="38" t="n"/>
      <c r="CJ67" s="38" t="n"/>
    </row>
    <row r="68">
      <c r="A68" s="31" t="n"/>
      <c r="B68" s="31" t="n"/>
      <c r="C68" s="31" t="n"/>
      <c r="D68" s="31" t="n"/>
      <c r="E68" s="31" t="n"/>
      <c r="F68" s="31" t="n"/>
      <c r="G68" s="31" t="n"/>
      <c r="H68" s="31" t="n"/>
      <c r="I68" s="31" t="n"/>
      <c r="J68" s="31" t="n"/>
      <c r="K68" s="31" t="n"/>
      <c r="L68" s="31" t="n"/>
      <c r="M68" s="31" t="n"/>
      <c r="N68" s="31" t="n"/>
      <c r="O68" s="31" t="n"/>
      <c r="P68" s="31" t="inlineStr">
        <is>
          <t>QA</t>
        </is>
      </c>
      <c r="Q68" s="31" t="inlineStr"/>
      <c r="R68" s="38" t="n"/>
      <c r="T68" s="38" t="n"/>
      <c r="V68" s="38" t="n"/>
      <c r="X68" s="38" t="n"/>
      <c r="Z68" s="38" t="n"/>
      <c r="AB68" s="38" t="n"/>
      <c r="AD68" s="38" t="n"/>
      <c r="AF68" s="38" t="n"/>
      <c r="AH68" s="38" t="n"/>
      <c r="AJ68" s="38" t="n"/>
      <c r="AL68" s="38" t="n"/>
      <c r="AN68" s="38" t="n"/>
      <c r="AP68" s="38" t="n"/>
      <c r="AR68" s="38" t="n"/>
      <c r="AT68" s="38" t="n"/>
      <c r="AV68" s="43" t="inlineStr">
        <is>
          <t>QA</t>
        </is>
      </c>
      <c r="AW68" s="16" t="n"/>
      <c r="AX68" s="55" t="n"/>
      <c r="AZ68" s="38" t="n"/>
      <c r="BB68" s="38" t="n"/>
      <c r="BD68" s="38" t="n"/>
      <c r="BF68" s="38" t="n"/>
      <c r="BH68" s="38" t="n"/>
      <c r="BJ68" s="38" t="n"/>
      <c r="BL68" s="38" t="n"/>
      <c r="BN68" s="38" t="n"/>
      <c r="BP68" s="38" t="n"/>
      <c r="BR68" s="39" t="n"/>
      <c r="BT68" s="38" t="n"/>
      <c r="BV68" s="38" t="n"/>
      <c r="BX68" s="38" t="n"/>
      <c r="BZ68" s="38" t="n"/>
      <c r="CB68" s="38" t="n"/>
      <c r="CD68" s="38" t="n"/>
      <c r="CF68" s="38" t="n"/>
      <c r="CH68" s="38" t="n"/>
      <c r="CJ68" s="38" t="n"/>
    </row>
    <row r="69">
      <c r="A69" s="28" t="inlineStr">
        <is>
          <t>Board Goal</t>
        </is>
      </c>
      <c r="B69" s="28" t="inlineStr">
        <is>
          <t>MTU</t>
        </is>
      </c>
      <c r="C69" s="34" t="inlineStr">
        <is>
          <t>#8 Deploy AI-powered dynamic pricing (offer price and variable fees)</t>
        </is>
      </c>
      <c r="D69" s="28" t="inlineStr">
        <is>
          <t>High</t>
        </is>
      </c>
      <c r="E69" s="28" t="inlineStr">
        <is>
          <t>Q2</t>
        </is>
      </c>
      <c r="F69" s="28" t="inlineStr">
        <is>
          <t>Planned</t>
        </is>
      </c>
      <c r="G69" s="28" t="inlineStr">
        <is>
          <t>M</t>
        </is>
      </c>
      <c r="H69" s="28" t="inlineStr"/>
      <c r="I69" s="28" t="inlineStr"/>
      <c r="J69" s="28" t="inlineStr"/>
      <c r="K69" s="28" t="inlineStr"/>
      <c r="L69" s="28" t="inlineStr"/>
      <c r="M69" s="28" t="inlineStr"/>
      <c r="N69" s="28" t="inlineStr"/>
      <c r="O69" s="28" t="inlineStr"/>
      <c r="P69" s="28" t="inlineStr">
        <is>
          <t>PM</t>
        </is>
      </c>
      <c r="Q69" s="28" t="inlineStr"/>
      <c r="R69" s="35" t="n"/>
      <c r="T69" s="35" t="n"/>
      <c r="V69" s="35" t="n"/>
      <c r="W69" s="50" t="inlineStr">
        <is>
          <t>PM</t>
        </is>
      </c>
      <c r="X69" s="51" t="n"/>
      <c r="Y69" s="11" t="n"/>
      <c r="Z69" s="35" t="n"/>
      <c r="AB69" s="35" t="n"/>
      <c r="AD69" s="35" t="n"/>
      <c r="AF69" s="35" t="n"/>
      <c r="AH69" s="35" t="n"/>
      <c r="AJ69" s="35" t="n"/>
      <c r="AL69" s="35" t="n"/>
      <c r="AN69" s="35" t="n"/>
      <c r="AP69" s="35" t="n"/>
      <c r="AR69" s="35" t="n"/>
      <c r="AT69" s="35" t="n"/>
      <c r="AV69" s="35" t="n"/>
      <c r="AX69" s="35" t="n"/>
      <c r="AZ69" s="35" t="n"/>
      <c r="BB69" s="35" t="n"/>
      <c r="BD69" s="35" t="n"/>
      <c r="BF69" s="35" t="n"/>
      <c r="BH69" s="35" t="n"/>
      <c r="BJ69" s="35" t="n"/>
      <c r="BL69" s="35" t="n"/>
      <c r="BN69" s="35" t="n"/>
      <c r="BP69" s="35" t="n"/>
      <c r="BR69" s="36" t="n"/>
      <c r="BT69" s="35" t="n"/>
      <c r="BV69" s="35" t="n"/>
      <c r="BX69" s="35" t="n"/>
      <c r="BZ69" s="35" t="n"/>
      <c r="CB69" s="35" t="n"/>
      <c r="CD69" s="35" t="n"/>
      <c r="CF69" s="35" t="n"/>
      <c r="CH69" s="35" t="n"/>
      <c r="CJ69" s="35" t="n"/>
    </row>
    <row r="70">
      <c r="A70" s="31" t="n"/>
      <c r="B70" s="31" t="n"/>
      <c r="C70" s="37" t="inlineStr">
        <is>
          <t>5 Oct 2026 to 25 Apr 2027</t>
        </is>
      </c>
      <c r="D70" s="31" t="n"/>
      <c r="E70" s="31" t="n"/>
      <c r="F70" s="31" t="n"/>
      <c r="G70" s="31" t="n"/>
      <c r="H70" s="31" t="n"/>
      <c r="I70" s="31" t="n"/>
      <c r="J70" s="31" t="n"/>
      <c r="K70" s="31" t="n"/>
      <c r="L70" s="31" t="n"/>
      <c r="M70" s="31" t="n"/>
      <c r="N70" s="31" t="n"/>
      <c r="O70" s="31" t="n"/>
      <c r="P70" s="31" t="inlineStr">
        <is>
          <t>Dsgn</t>
        </is>
      </c>
      <c r="Q70" s="31" t="inlineStr"/>
      <c r="R70" s="38" t="n"/>
      <c r="T70" s="38" t="n"/>
      <c r="V70" s="38" t="n"/>
      <c r="X70" s="38" t="n"/>
      <c r="Z70" s="47" t="inlineStr">
        <is>
          <t>Dsgn</t>
        </is>
      </c>
      <c r="AA70" s="12" t="n"/>
      <c r="AB70" s="38" t="n"/>
      <c r="AD70" s="38" t="n"/>
      <c r="AF70" s="38" t="n"/>
      <c r="AH70" s="38" t="n"/>
      <c r="AJ70" s="38" t="n"/>
      <c r="AL70" s="38" t="n"/>
      <c r="AN70" s="38" t="n"/>
      <c r="AP70" s="38" t="n"/>
      <c r="AR70" s="38" t="n"/>
      <c r="AT70" s="38" t="n"/>
      <c r="AV70" s="38" t="n"/>
      <c r="AX70" s="38" t="n"/>
      <c r="AZ70" s="38" t="n"/>
      <c r="BB70" s="38" t="n"/>
      <c r="BD70" s="38" t="n"/>
      <c r="BF70" s="38" t="n"/>
      <c r="BH70" s="38" t="n"/>
      <c r="BJ70" s="38" t="n"/>
      <c r="BL70" s="38" t="n"/>
      <c r="BN70" s="38" t="n"/>
      <c r="BP70" s="38" t="n"/>
      <c r="BR70" s="39" t="n"/>
      <c r="BT70" s="38" t="n"/>
      <c r="BV70" s="38" t="n"/>
      <c r="BX70" s="38" t="n"/>
      <c r="BZ70" s="38" t="n"/>
      <c r="CB70" s="38" t="n"/>
      <c r="CD70" s="38" t="n"/>
      <c r="CF70" s="38" t="n"/>
      <c r="CH70" s="38" t="n"/>
      <c r="CJ70" s="38" t="n"/>
    </row>
    <row r="71">
      <c r="A71" s="31" t="n"/>
      <c r="B71" s="31" t="n"/>
      <c r="C71" s="40" t="inlineStr">
        <is>
          <t>BE M (2 FTE spr) · App S (1 FTE spr) · Design S</t>
        </is>
      </c>
      <c r="D71" s="31" t="n"/>
      <c r="E71" s="31" t="n"/>
      <c r="F71" s="31" t="n"/>
      <c r="G71" s="31" t="n"/>
      <c r="H71" s="31" t="n"/>
      <c r="I71" s="31" t="n"/>
      <c r="J71" s="31" t="n"/>
      <c r="K71" s="31" t="n"/>
      <c r="L71" s="31" t="n"/>
      <c r="M71" s="31" t="n"/>
      <c r="N71" s="31" t="n"/>
      <c r="O71" s="31" t="n"/>
      <c r="P71" s="31" t="inlineStr">
        <is>
          <t>TPM</t>
        </is>
      </c>
      <c r="Q71" s="31" t="inlineStr"/>
      <c r="R71" s="38" t="n"/>
      <c r="T71" s="38" t="n"/>
      <c r="V71" s="38" t="n"/>
      <c r="X71" s="38" t="n"/>
      <c r="Z71" s="38" t="n"/>
      <c r="AB71" s="48" t="inlineStr">
        <is>
          <t>TPM</t>
        </is>
      </c>
      <c r="AC71" s="13" t="n"/>
      <c r="AD71" s="38" t="n"/>
      <c r="AF71" s="38" t="n"/>
      <c r="AH71" s="38" t="n"/>
      <c r="AJ71" s="38" t="n"/>
      <c r="AL71" s="38" t="n"/>
      <c r="AN71" s="38" t="n"/>
      <c r="AP71" s="38" t="n"/>
      <c r="AR71" s="38" t="n"/>
      <c r="AT71" s="38" t="n"/>
      <c r="AV71" s="38" t="n"/>
      <c r="AX71" s="38" t="n"/>
      <c r="AZ71" s="38" t="n"/>
      <c r="BB71" s="38" t="n"/>
      <c r="BD71" s="38" t="n"/>
      <c r="BF71" s="38" t="n"/>
      <c r="BH71" s="38" t="n"/>
      <c r="BJ71" s="38" t="n"/>
      <c r="BL71" s="38" t="n"/>
      <c r="BN71" s="38" t="n"/>
      <c r="BP71" s="38" t="n"/>
      <c r="BR71" s="39" t="n"/>
      <c r="BT71" s="38" t="n"/>
      <c r="BV71" s="38" t="n"/>
      <c r="BX71" s="38" t="n"/>
      <c r="BZ71" s="38" t="n"/>
      <c r="CB71" s="38" t="n"/>
      <c r="CD71" s="38" t="n"/>
      <c r="CF71" s="38" t="n"/>
      <c r="CH71" s="38" t="n"/>
      <c r="CJ71" s="38" t="n"/>
    </row>
    <row r="72">
      <c r="A72" s="31" t="n"/>
      <c r="B72" s="31" t="n"/>
      <c r="C72" s="41">
        <f>HYPERLINK("https://app.asana.com/1/8556634603607/project/1215564565348002/task/1218156225083580","Asana task")</f>
        <v/>
      </c>
      <c r="D72" s="31" t="n"/>
      <c r="E72" s="31" t="n"/>
      <c r="F72" s="31" t="n"/>
      <c r="G72" s="31" t="n"/>
      <c r="H72" s="31" t="n"/>
      <c r="I72" s="31" t="n"/>
      <c r="J72" s="31" t="n"/>
      <c r="K72" s="31" t="n"/>
      <c r="L72" s="31" t="n"/>
      <c r="M72" s="31" t="n"/>
      <c r="N72" s="31" t="n"/>
      <c r="O72" s="31" t="n"/>
      <c r="P72" s="31" t="inlineStr">
        <is>
          <t>BE</t>
        </is>
      </c>
      <c r="Q72" s="31" t="n">
        <v>1</v>
      </c>
      <c r="R72" s="38" t="n"/>
      <c r="T72" s="38" t="n"/>
      <c r="V72" s="38" t="n"/>
      <c r="X72" s="38" t="n"/>
      <c r="Z72" s="38" t="n"/>
      <c r="AB72" s="38" t="n"/>
      <c r="AD72" s="38" t="n"/>
      <c r="AF72" s="38" t="n"/>
      <c r="AH72" s="38" t="n"/>
      <c r="AJ72" s="38" t="n"/>
      <c r="AL72" s="42" t="inlineStr">
        <is>
          <t>BE</t>
        </is>
      </c>
      <c r="AM72" s="14" t="n"/>
      <c r="AN72" s="46" t="n"/>
      <c r="AO72" s="14" t="n"/>
      <c r="AP72" s="38" t="n"/>
      <c r="AR72" s="38" t="n"/>
      <c r="AT72" s="38" t="n"/>
      <c r="AV72" s="38" t="n"/>
      <c r="AX72" s="38" t="n"/>
      <c r="AZ72" s="38" t="n"/>
      <c r="BB72" s="38" t="n"/>
      <c r="BD72" s="38" t="n"/>
      <c r="BF72" s="38" t="n"/>
      <c r="BH72" s="38" t="n"/>
      <c r="BJ72" s="38" t="n"/>
      <c r="BL72" s="38" t="n"/>
      <c r="BN72" s="38" t="n"/>
      <c r="BP72" s="38" t="n"/>
      <c r="BR72" s="39" t="n"/>
      <c r="BT72" s="38" t="n"/>
      <c r="BV72" s="38" t="n"/>
      <c r="BX72" s="38" t="n"/>
      <c r="BZ72" s="38" t="n"/>
      <c r="CB72" s="38" t="n"/>
      <c r="CD72" s="38" t="n"/>
      <c r="CF72" s="38" t="n"/>
      <c r="CH72" s="38" t="n"/>
      <c r="CJ72" s="38" t="n"/>
    </row>
    <row r="73">
      <c r="A73" s="31" t="n"/>
      <c r="B73" s="31" t="n"/>
      <c r="C73" s="31" t="n"/>
      <c r="D73" s="31" t="n"/>
      <c r="E73" s="31" t="n"/>
      <c r="F73" s="31" t="n"/>
      <c r="G73" s="31" t="n"/>
      <c r="H73" s="31" t="n"/>
      <c r="I73" s="31" t="n"/>
      <c r="J73" s="31" t="n"/>
      <c r="K73" s="31" t="n"/>
      <c r="L73" s="31" t="n"/>
      <c r="M73" s="31" t="n"/>
      <c r="N73" s="31" t="n"/>
      <c r="O73" s="31" t="n"/>
      <c r="P73" s="31" t="inlineStr">
        <is>
          <t>App</t>
        </is>
      </c>
      <c r="Q73" s="31" t="n">
        <v>1</v>
      </c>
      <c r="R73" s="38" t="n"/>
      <c r="T73" s="38" t="n"/>
      <c r="V73" s="38" t="n"/>
      <c r="X73" s="38" t="n"/>
      <c r="Z73" s="38" t="n"/>
      <c r="AB73" s="38" t="n"/>
      <c r="AD73" s="38" t="n"/>
      <c r="AF73" s="38" t="n"/>
      <c r="AH73" s="38" t="n"/>
      <c r="AJ73" s="38" t="n"/>
      <c r="AL73" s="38" t="n"/>
      <c r="AN73" s="38" t="n"/>
      <c r="AP73" s="38" t="n"/>
      <c r="AR73" s="38" t="n"/>
      <c r="AT73" s="38" t="n"/>
      <c r="AV73" s="49" t="inlineStr">
        <is>
          <t>App</t>
        </is>
      </c>
      <c r="AW73" s="15" t="n"/>
      <c r="AX73" s="38" t="n"/>
      <c r="AZ73" s="38" t="n"/>
      <c r="BB73" s="38" t="n"/>
      <c r="BD73" s="38" t="n"/>
      <c r="BF73" s="38" t="n"/>
      <c r="BH73" s="38" t="n"/>
      <c r="BJ73" s="38" t="n"/>
      <c r="BL73" s="38" t="n"/>
      <c r="BN73" s="38" t="n"/>
      <c r="BP73" s="38" t="n"/>
      <c r="BR73" s="39" t="n"/>
      <c r="BT73" s="38" t="n"/>
      <c r="BV73" s="38" t="n"/>
      <c r="BX73" s="38" t="n"/>
      <c r="BZ73" s="38" t="n"/>
      <c r="CB73" s="38" t="n"/>
      <c r="CD73" s="38" t="n"/>
      <c r="CF73" s="38" t="n"/>
      <c r="CH73" s="38" t="n"/>
      <c r="CJ73" s="38" t="n"/>
    </row>
    <row r="74">
      <c r="A74" s="31" t="n"/>
      <c r="B74" s="31" t="n"/>
      <c r="C74" s="31" t="n"/>
      <c r="D74" s="31" t="n"/>
      <c r="E74" s="31" t="n"/>
      <c r="F74" s="31" t="n"/>
      <c r="G74" s="31" t="n"/>
      <c r="H74" s="31" t="n"/>
      <c r="I74" s="31" t="n"/>
      <c r="J74" s="31" t="n"/>
      <c r="K74" s="31" t="n"/>
      <c r="L74" s="31" t="n"/>
      <c r="M74" s="31" t="n"/>
      <c r="N74" s="31" t="n"/>
      <c r="O74" s="31" t="n"/>
      <c r="P74" s="31" t="inlineStr">
        <is>
          <t>QA</t>
        </is>
      </c>
      <c r="Q74" s="31" t="inlineStr"/>
      <c r="R74" s="38" t="n"/>
      <c r="T74" s="38" t="n"/>
      <c r="V74" s="38" t="n"/>
      <c r="X74" s="38" t="n"/>
      <c r="Z74" s="38" t="n"/>
      <c r="AB74" s="38" t="n"/>
      <c r="AD74" s="38" t="n"/>
      <c r="AF74" s="38" t="n"/>
      <c r="AH74" s="38" t="n"/>
      <c r="AJ74" s="38" t="n"/>
      <c r="AL74" s="38" t="n"/>
      <c r="AN74" s="38" t="n"/>
      <c r="AP74" s="38" t="n"/>
      <c r="AR74" s="38" t="n"/>
      <c r="AT74" s="38" t="n"/>
      <c r="AV74" s="38" t="n"/>
      <c r="AX74" s="43" t="inlineStr">
        <is>
          <t>QA</t>
        </is>
      </c>
      <c r="AY74" s="16" t="n"/>
      <c r="AZ74" s="38" t="n"/>
      <c r="BB74" s="38" t="n"/>
      <c r="BD74" s="38" t="n"/>
      <c r="BF74" s="38" t="n"/>
      <c r="BH74" s="38" t="n"/>
      <c r="BJ74" s="38" t="n"/>
      <c r="BL74" s="38" t="n"/>
      <c r="BN74" s="38" t="n"/>
      <c r="BP74" s="38" t="n"/>
      <c r="BR74" s="39" t="n"/>
      <c r="BT74" s="38" t="n"/>
      <c r="BV74" s="38" t="n"/>
      <c r="BX74" s="38" t="n"/>
      <c r="BZ74" s="38" t="n"/>
      <c r="CB74" s="38" t="n"/>
      <c r="CD74" s="38" t="n"/>
      <c r="CF74" s="38" t="n"/>
      <c r="CH74" s="38" t="n"/>
      <c r="CJ74" s="38" t="n"/>
    </row>
    <row r="75">
      <c r="A75" s="28" t="inlineStr">
        <is>
          <t>Business Goal</t>
        </is>
      </c>
      <c r="B75" s="28" t="inlineStr">
        <is>
          <t>eGIFT</t>
        </is>
      </c>
      <c r="C75" s="34" t="inlineStr">
        <is>
          <t>#9 Integrate with the KVouchers platform (IDT vouchers and new flows)</t>
        </is>
      </c>
      <c r="D75" s="28" t="inlineStr">
        <is>
          <t>High</t>
        </is>
      </c>
      <c r="E75" s="28" t="inlineStr">
        <is>
          <t>Q2</t>
        </is>
      </c>
      <c r="F75" s="28" t="inlineStr">
        <is>
          <t>Planned</t>
        </is>
      </c>
      <c r="G75" s="28" t="inlineStr">
        <is>
          <t>L</t>
        </is>
      </c>
      <c r="H75" s="28" t="inlineStr"/>
      <c r="I75" s="28" t="inlineStr"/>
      <c r="J75" s="28" t="inlineStr"/>
      <c r="K75" s="28" t="inlineStr"/>
      <c r="L75" s="28" t="inlineStr"/>
      <c r="M75" s="28" t="inlineStr"/>
      <c r="N75" s="28" t="inlineStr"/>
      <c r="O75" s="28" t="inlineStr"/>
      <c r="P75" s="28" t="inlineStr">
        <is>
          <t>PM</t>
        </is>
      </c>
      <c r="Q75" s="28" t="inlineStr"/>
      <c r="R75" s="35" t="n"/>
      <c r="T75" s="35" t="n"/>
      <c r="V75" s="35" t="n"/>
      <c r="X75" s="35" t="n"/>
      <c r="Y75" s="50" t="inlineStr">
        <is>
          <t>PM</t>
        </is>
      </c>
      <c r="Z75" s="51" t="n"/>
      <c r="AA75" s="11" t="n"/>
      <c r="AB75" s="35" t="n"/>
      <c r="AD75" s="35" t="n"/>
      <c r="AF75" s="35" t="n"/>
      <c r="AH75" s="35" t="n"/>
      <c r="AJ75" s="35" t="n"/>
      <c r="AL75" s="35" t="n"/>
      <c r="AN75" s="35" t="n"/>
      <c r="AP75" s="35" t="n"/>
      <c r="AR75" s="35" t="n"/>
      <c r="AT75" s="35" t="n"/>
      <c r="AV75" s="35" t="n"/>
      <c r="AX75" s="35" t="n"/>
      <c r="AZ75" s="35" t="n"/>
      <c r="BB75" s="35" t="n"/>
      <c r="BD75" s="35" t="n"/>
      <c r="BF75" s="35" t="n"/>
      <c r="BH75" s="35" t="n"/>
      <c r="BJ75" s="35" t="n"/>
      <c r="BL75" s="35" t="n"/>
      <c r="BN75" s="35" t="n"/>
      <c r="BP75" s="35" t="n"/>
      <c r="BR75" s="36" t="n"/>
      <c r="BT75" s="35" t="n"/>
      <c r="BV75" s="35" t="n"/>
      <c r="BX75" s="35" t="n"/>
      <c r="BZ75" s="35" t="n"/>
      <c r="CB75" s="35" t="n"/>
      <c r="CD75" s="35" t="n"/>
      <c r="CF75" s="35" t="n"/>
      <c r="CH75" s="35" t="n"/>
      <c r="CJ75" s="35" t="n"/>
    </row>
    <row r="76">
      <c r="A76" s="31" t="n"/>
      <c r="B76" s="31" t="n"/>
      <c r="C76" s="37" t="inlineStr">
        <is>
          <t>19 Oct 2026 to 9 May 2027</t>
        </is>
      </c>
      <c r="D76" s="31" t="n"/>
      <c r="E76" s="31" t="n"/>
      <c r="F76" s="31" t="n"/>
      <c r="G76" s="31" t="n"/>
      <c r="H76" s="31" t="n"/>
      <c r="I76" s="31" t="n"/>
      <c r="J76" s="31" t="n"/>
      <c r="K76" s="31" t="n"/>
      <c r="L76" s="31" t="n"/>
      <c r="M76" s="31" t="n"/>
      <c r="N76" s="31" t="n"/>
      <c r="O76" s="31" t="n"/>
      <c r="P76" s="31" t="inlineStr">
        <is>
          <t>Dsgn</t>
        </is>
      </c>
      <c r="Q76" s="31" t="inlineStr"/>
      <c r="R76" s="38" t="n"/>
      <c r="T76" s="38" t="n"/>
      <c r="V76" s="38" t="n"/>
      <c r="X76" s="38" t="n"/>
      <c r="Z76" s="38" t="n"/>
      <c r="AB76" s="47" t="inlineStr">
        <is>
          <t>Dsgn</t>
        </is>
      </c>
      <c r="AC76" s="12" t="n"/>
      <c r="AD76" s="53" t="n"/>
      <c r="AF76" s="38" t="n"/>
      <c r="AH76" s="38" t="n"/>
      <c r="AJ76" s="38" t="n"/>
      <c r="AL76" s="38" t="n"/>
      <c r="AN76" s="38" t="n"/>
      <c r="AP76" s="38" t="n"/>
      <c r="AR76" s="38" t="n"/>
      <c r="AT76" s="38" t="n"/>
      <c r="AV76" s="38" t="n"/>
      <c r="AX76" s="38" t="n"/>
      <c r="AZ76" s="38" t="n"/>
      <c r="BB76" s="38" t="n"/>
      <c r="BD76" s="38" t="n"/>
      <c r="BF76" s="38" t="n"/>
      <c r="BH76" s="38" t="n"/>
      <c r="BJ76" s="38" t="n"/>
      <c r="BL76" s="38" t="n"/>
      <c r="BN76" s="38" t="n"/>
      <c r="BP76" s="38" t="n"/>
      <c r="BR76" s="39" t="n"/>
      <c r="BT76" s="38" t="n"/>
      <c r="BV76" s="38" t="n"/>
      <c r="BX76" s="38" t="n"/>
      <c r="BZ76" s="38" t="n"/>
      <c r="CB76" s="38" t="n"/>
      <c r="CD76" s="38" t="n"/>
      <c r="CF76" s="38" t="n"/>
      <c r="CH76" s="38" t="n"/>
      <c r="CJ76" s="38" t="n"/>
    </row>
    <row r="77">
      <c r="A77" s="31" t="n"/>
      <c r="B77" s="31" t="n"/>
      <c r="C77" s="40" t="inlineStr">
        <is>
          <t>BE L (4 FTE spr) · App M (2 FTE spr) · Design M</t>
        </is>
      </c>
      <c r="D77" s="31" t="n"/>
      <c r="E77" s="31" t="n"/>
      <c r="F77" s="31" t="n"/>
      <c r="G77" s="31" t="n"/>
      <c r="H77" s="31" t="n"/>
      <c r="I77" s="31" t="n"/>
      <c r="J77" s="31" t="n"/>
      <c r="K77" s="31" t="n"/>
      <c r="L77" s="31" t="n"/>
      <c r="M77" s="31" t="n"/>
      <c r="N77" s="31" t="n"/>
      <c r="O77" s="31" t="n"/>
      <c r="P77" s="31" t="inlineStr">
        <is>
          <t>TPM</t>
        </is>
      </c>
      <c r="Q77" s="31" t="inlineStr"/>
      <c r="R77" s="38" t="n"/>
      <c r="T77" s="38" t="n"/>
      <c r="V77" s="38" t="n"/>
      <c r="X77" s="38" t="n"/>
      <c r="Z77" s="38" t="n"/>
      <c r="AB77" s="38" t="n"/>
      <c r="AD77" s="38" t="n"/>
      <c r="AE77" s="45" t="inlineStr">
        <is>
          <t>TPM</t>
        </is>
      </c>
      <c r="AF77" s="56" t="n"/>
      <c r="AH77" s="38" t="n"/>
      <c r="AJ77" s="38" t="n"/>
      <c r="AL77" s="38" t="n"/>
      <c r="AN77" s="38" t="n"/>
      <c r="AP77" s="38" t="n"/>
      <c r="AR77" s="38" t="n"/>
      <c r="AT77" s="38" t="n"/>
      <c r="AV77" s="38" t="n"/>
      <c r="AX77" s="38" t="n"/>
      <c r="AZ77" s="38" t="n"/>
      <c r="BB77" s="38" t="n"/>
      <c r="BD77" s="38" t="n"/>
      <c r="BF77" s="38" t="n"/>
      <c r="BH77" s="38" t="n"/>
      <c r="BJ77" s="38" t="n"/>
      <c r="BL77" s="38" t="n"/>
      <c r="BN77" s="38" t="n"/>
      <c r="BP77" s="38" t="n"/>
      <c r="BR77" s="39" t="n"/>
      <c r="BT77" s="38" t="n"/>
      <c r="BV77" s="38" t="n"/>
      <c r="BX77" s="38" t="n"/>
      <c r="BZ77" s="38" t="n"/>
      <c r="CB77" s="38" t="n"/>
      <c r="CD77" s="38" t="n"/>
      <c r="CF77" s="38" t="n"/>
      <c r="CH77" s="38" t="n"/>
      <c r="CJ77" s="38" t="n"/>
    </row>
    <row r="78">
      <c r="A78" s="31" t="n"/>
      <c r="B78" s="31" t="n"/>
      <c r="C78" s="41">
        <f>HYPERLINK("https://app.asana.com/1/8556634603607/project/1215564565348002/task/1215840097748060","Asana task")</f>
        <v/>
      </c>
      <c r="D78" s="31" t="n"/>
      <c r="E78" s="31" t="n"/>
      <c r="F78" s="31" t="n"/>
      <c r="G78" s="31" t="n"/>
      <c r="H78" s="31" t="n"/>
      <c r="I78" s="31" t="n"/>
      <c r="J78" s="31" t="n"/>
      <c r="K78" s="31" t="n"/>
      <c r="L78" s="31" t="n"/>
      <c r="M78" s="31" t="n"/>
      <c r="N78" s="31" t="n"/>
      <c r="O78" s="31" t="n"/>
      <c r="P78" s="31" t="inlineStr">
        <is>
          <t>BE</t>
        </is>
      </c>
      <c r="Q78" s="31" t="n">
        <v>2</v>
      </c>
      <c r="R78" s="38" t="n"/>
      <c r="T78" s="38" t="n"/>
      <c r="V78" s="38" t="n"/>
      <c r="X78" s="38" t="n"/>
      <c r="Z78" s="38" t="n"/>
      <c r="AB78" s="38" t="n"/>
      <c r="AD78" s="38" t="n"/>
      <c r="AF78" s="38" t="n"/>
      <c r="AH78" s="38" t="n"/>
      <c r="AJ78" s="38" t="n"/>
      <c r="AL78" s="38" t="n"/>
      <c r="AN78" s="38" t="n"/>
      <c r="AP78" s="42" t="inlineStr">
        <is>
          <t>BE</t>
        </is>
      </c>
      <c r="AQ78" s="14" t="n"/>
      <c r="AR78" s="46" t="n"/>
      <c r="AS78" s="14" t="n"/>
      <c r="AT78" s="38" t="n"/>
      <c r="AV78" s="38" t="n"/>
      <c r="AX78" s="38" t="n"/>
      <c r="AZ78" s="38" t="n"/>
      <c r="BB78" s="38" t="n"/>
      <c r="BD78" s="38" t="n"/>
      <c r="BF78" s="38" t="n"/>
      <c r="BH78" s="38" t="n"/>
      <c r="BJ78" s="38" t="n"/>
      <c r="BL78" s="38" t="n"/>
      <c r="BN78" s="38" t="n"/>
      <c r="BP78" s="38" t="n"/>
      <c r="BR78" s="39" t="n"/>
      <c r="BT78" s="38" t="n"/>
      <c r="BV78" s="38" t="n"/>
      <c r="BX78" s="38" t="n"/>
      <c r="BZ78" s="38" t="n"/>
      <c r="CB78" s="38" t="n"/>
      <c r="CD78" s="38" t="n"/>
      <c r="CF78" s="38" t="n"/>
      <c r="CH78" s="38" t="n"/>
      <c r="CJ78" s="38" t="n"/>
    </row>
    <row r="79">
      <c r="A79" s="31" t="n"/>
      <c r="B79" s="31" t="n"/>
      <c r="C79" s="31" t="n"/>
      <c r="D79" s="31" t="n"/>
      <c r="E79" s="31" t="n"/>
      <c r="F79" s="31" t="n"/>
      <c r="G79" s="31" t="n"/>
      <c r="H79" s="31" t="n"/>
      <c r="I79" s="31" t="n"/>
      <c r="J79" s="31" t="n"/>
      <c r="K79" s="31" t="n"/>
      <c r="L79" s="31" t="n"/>
      <c r="M79" s="31" t="n"/>
      <c r="N79" s="31" t="n"/>
      <c r="O79" s="31" t="n"/>
      <c r="P79" s="31" t="inlineStr">
        <is>
          <t>App</t>
        </is>
      </c>
      <c r="Q79" s="31" t="n">
        <v>1</v>
      </c>
      <c r="R79" s="38" t="n"/>
      <c r="T79" s="38" t="n"/>
      <c r="V79" s="38" t="n"/>
      <c r="X79" s="38" t="n"/>
      <c r="Z79" s="38" t="n"/>
      <c r="AB79" s="38" t="n"/>
      <c r="AD79" s="38" t="n"/>
      <c r="AF79" s="38" t="n"/>
      <c r="AH79" s="38" t="n"/>
      <c r="AJ79" s="38" t="n"/>
      <c r="AL79" s="38" t="n"/>
      <c r="AN79" s="38" t="n"/>
      <c r="AP79" s="38" t="n"/>
      <c r="AR79" s="38" t="n"/>
      <c r="AT79" s="38" t="n"/>
      <c r="AV79" s="49" t="inlineStr">
        <is>
          <t>App</t>
        </is>
      </c>
      <c r="AW79" s="15" t="n"/>
      <c r="AX79" s="54" t="n"/>
      <c r="AY79" s="15" t="n"/>
      <c r="AZ79" s="38" t="n"/>
      <c r="BB79" s="38" t="n"/>
      <c r="BD79" s="38" t="n"/>
      <c r="BF79" s="38" t="n"/>
      <c r="BH79" s="38" t="n"/>
      <c r="BJ79" s="38" t="n"/>
      <c r="BL79" s="38" t="n"/>
      <c r="BN79" s="38" t="n"/>
      <c r="BP79" s="38" t="n"/>
      <c r="BR79" s="39" t="n"/>
      <c r="BT79" s="38" t="n"/>
      <c r="BV79" s="38" t="n"/>
      <c r="BX79" s="38" t="n"/>
      <c r="BZ79" s="38" t="n"/>
      <c r="CB79" s="38" t="n"/>
      <c r="CD79" s="38" t="n"/>
      <c r="CF79" s="38" t="n"/>
      <c r="CH79" s="38" t="n"/>
      <c r="CJ79" s="38" t="n"/>
    </row>
    <row r="80">
      <c r="A80" s="31" t="n"/>
      <c r="B80" s="31" t="n"/>
      <c r="C80" s="31" t="n"/>
      <c r="D80" s="31" t="n"/>
      <c r="E80" s="31" t="n"/>
      <c r="F80" s="31" t="n"/>
      <c r="G80" s="31" t="n"/>
      <c r="H80" s="31" t="n"/>
      <c r="I80" s="31" t="n"/>
      <c r="J80" s="31" t="n"/>
      <c r="K80" s="31" t="n"/>
      <c r="L80" s="31" t="n"/>
      <c r="M80" s="31" t="n"/>
      <c r="N80" s="31" t="n"/>
      <c r="O80" s="31" t="n"/>
      <c r="P80" s="31" t="inlineStr">
        <is>
          <t>QA</t>
        </is>
      </c>
      <c r="Q80" s="31" t="inlineStr"/>
      <c r="R80" s="38" t="n"/>
      <c r="T80" s="38" t="n"/>
      <c r="V80" s="38" t="n"/>
      <c r="X80" s="38" t="n"/>
      <c r="Z80" s="38" t="n"/>
      <c r="AB80" s="38" t="n"/>
      <c r="AD80" s="38" t="n"/>
      <c r="AF80" s="38" t="n"/>
      <c r="AH80" s="38" t="n"/>
      <c r="AJ80" s="38" t="n"/>
      <c r="AL80" s="38" t="n"/>
      <c r="AN80" s="38" t="n"/>
      <c r="AP80" s="38" t="n"/>
      <c r="AR80" s="38" t="n"/>
      <c r="AT80" s="38" t="n"/>
      <c r="AV80" s="38" t="n"/>
      <c r="AX80" s="38" t="n"/>
      <c r="AZ80" s="43" t="inlineStr">
        <is>
          <t>QA</t>
        </is>
      </c>
      <c r="BA80" s="16" t="n"/>
      <c r="BB80" s="38" t="n"/>
      <c r="BD80" s="38" t="n"/>
      <c r="BF80" s="38" t="n"/>
      <c r="BH80" s="38" t="n"/>
      <c r="BJ80" s="38" t="n"/>
      <c r="BL80" s="38" t="n"/>
      <c r="BN80" s="38" t="n"/>
      <c r="BP80" s="38" t="n"/>
      <c r="BR80" s="39" t="n"/>
      <c r="BT80" s="38" t="n"/>
      <c r="BV80" s="38" t="n"/>
      <c r="BX80" s="38" t="n"/>
      <c r="BZ80" s="38" t="n"/>
      <c r="CB80" s="38" t="n"/>
      <c r="CD80" s="38" t="n"/>
      <c r="CF80" s="38" t="n"/>
      <c r="CH80" s="38" t="n"/>
      <c r="CJ80" s="38" t="n"/>
    </row>
    <row r="81">
      <c r="A81" s="28" t="inlineStr">
        <is>
          <t>Business Goal</t>
        </is>
      </c>
      <c r="B81" s="28" t="inlineStr">
        <is>
          <t>MTU</t>
        </is>
      </c>
      <c r="C81" s="34" t="inlineStr">
        <is>
          <t>#10 Cross-selling MTU on Pinless (module)</t>
        </is>
      </c>
      <c r="D81" s="28" t="inlineStr">
        <is>
          <t>High</t>
        </is>
      </c>
      <c r="E81" s="28" t="inlineStr">
        <is>
          <t>Q2</t>
        </is>
      </c>
      <c r="F81" s="28" t="inlineStr">
        <is>
          <t>Planned</t>
        </is>
      </c>
      <c r="G81" s="28" t="inlineStr">
        <is>
          <t>S</t>
        </is>
      </c>
      <c r="H81" s="28" t="inlineStr"/>
      <c r="I81" s="28" t="inlineStr"/>
      <c r="J81" s="28" t="inlineStr"/>
      <c r="K81" s="28" t="inlineStr"/>
      <c r="L81" s="28" t="inlineStr"/>
      <c r="M81" s="28" t="inlineStr"/>
      <c r="N81" s="28" t="inlineStr"/>
      <c r="O81" s="28" t="inlineStr"/>
      <c r="P81" s="28" t="inlineStr">
        <is>
          <t>PM</t>
        </is>
      </c>
      <c r="Q81" s="28" t="inlineStr"/>
      <c r="R81" s="35" t="n"/>
      <c r="T81" s="35" t="n"/>
      <c r="V81" s="35" t="n"/>
      <c r="X81" s="35" t="n"/>
      <c r="Z81" s="44" t="inlineStr">
        <is>
          <t>PM</t>
        </is>
      </c>
      <c r="AB81" s="35" t="n"/>
      <c r="AD81" s="35" t="n"/>
      <c r="AF81" s="35" t="n"/>
      <c r="AH81" s="35" t="n"/>
      <c r="AJ81" s="35" t="n"/>
      <c r="AL81" s="35" t="n"/>
      <c r="AN81" s="35" t="n"/>
      <c r="AP81" s="35" t="n"/>
      <c r="AR81" s="35" t="n"/>
      <c r="AT81" s="35" t="n"/>
      <c r="AV81" s="35" t="n"/>
      <c r="AX81" s="35" t="n"/>
      <c r="AZ81" s="35" t="n"/>
      <c r="BB81" s="35" t="n"/>
      <c r="BD81" s="35" t="n"/>
      <c r="BF81" s="35" t="n"/>
      <c r="BH81" s="35" t="n"/>
      <c r="BJ81" s="35" t="n"/>
      <c r="BL81" s="35" t="n"/>
      <c r="BN81" s="35" t="n"/>
      <c r="BP81" s="35" t="n"/>
      <c r="BR81" s="36" t="n"/>
      <c r="BT81" s="35" t="n"/>
      <c r="BV81" s="35" t="n"/>
      <c r="BX81" s="35" t="n"/>
      <c r="BZ81" s="35" t="n"/>
      <c r="CB81" s="35" t="n"/>
      <c r="CD81" s="35" t="n"/>
      <c r="CF81" s="35" t="n"/>
      <c r="CH81" s="35" t="n"/>
      <c r="CJ81" s="35" t="n"/>
    </row>
    <row r="82">
      <c r="A82" s="31" t="n"/>
      <c r="B82" s="31" t="n"/>
      <c r="C82" s="37" t="inlineStr">
        <is>
          <t>26 Oct 2026 to 2 May 2027</t>
        </is>
      </c>
      <c r="D82" s="31" t="n"/>
      <c r="E82" s="31" t="n"/>
      <c r="F82" s="31" t="n"/>
      <c r="G82" s="31" t="n"/>
      <c r="H82" s="31" t="n"/>
      <c r="I82" s="31" t="n"/>
      <c r="J82" s="31" t="n"/>
      <c r="K82" s="31" t="n"/>
      <c r="L82" s="31" t="n"/>
      <c r="M82" s="31" t="n"/>
      <c r="N82" s="31" t="n"/>
      <c r="O82" s="31" t="n"/>
      <c r="P82" s="31" t="inlineStr">
        <is>
          <t>Dsgn</t>
        </is>
      </c>
      <c r="Q82" s="31" t="inlineStr"/>
      <c r="R82" s="38" t="n"/>
      <c r="T82" s="38" t="n"/>
      <c r="V82" s="38" t="n"/>
      <c r="X82" s="38" t="n"/>
      <c r="Z82" s="38" t="n"/>
      <c r="AB82" s="47" t="inlineStr">
        <is>
          <t>Dsgn</t>
        </is>
      </c>
      <c r="AC82" s="12" t="n"/>
      <c r="AD82" s="38" t="n"/>
      <c r="AF82" s="38" t="n"/>
      <c r="AH82" s="38" t="n"/>
      <c r="AJ82" s="38" t="n"/>
      <c r="AL82" s="38" t="n"/>
      <c r="AN82" s="38" t="n"/>
      <c r="AP82" s="38" t="n"/>
      <c r="AR82" s="38" t="n"/>
      <c r="AT82" s="38" t="n"/>
      <c r="AV82" s="38" t="n"/>
      <c r="AX82" s="38" t="n"/>
      <c r="AZ82" s="38" t="n"/>
      <c r="BB82" s="38" t="n"/>
      <c r="BD82" s="38" t="n"/>
      <c r="BF82" s="38" t="n"/>
      <c r="BH82" s="38" t="n"/>
      <c r="BJ82" s="38" t="n"/>
      <c r="BL82" s="38" t="n"/>
      <c r="BN82" s="38" t="n"/>
      <c r="BP82" s="38" t="n"/>
      <c r="BR82" s="39" t="n"/>
      <c r="BT82" s="38" t="n"/>
      <c r="BV82" s="38" t="n"/>
      <c r="BX82" s="38" t="n"/>
      <c r="BZ82" s="38" t="n"/>
      <c r="CB82" s="38" t="n"/>
      <c r="CD82" s="38" t="n"/>
      <c r="CF82" s="38" t="n"/>
      <c r="CH82" s="38" t="n"/>
      <c r="CJ82" s="38" t="n"/>
    </row>
    <row r="83">
      <c r="A83" s="31" t="n"/>
      <c r="B83" s="31" t="n"/>
      <c r="C83" s="40" t="inlineStr">
        <is>
          <t>BE S (1 FTE spr) · App S (1 FTE spr) · Design S</t>
        </is>
      </c>
      <c r="D83" s="31" t="n"/>
      <c r="E83" s="31" t="n"/>
      <c r="F83" s="31" t="n"/>
      <c r="G83" s="31" t="n"/>
      <c r="H83" s="31" t="n"/>
      <c r="I83" s="31" t="n"/>
      <c r="J83" s="31" t="n"/>
      <c r="K83" s="31" t="n"/>
      <c r="L83" s="31" t="n"/>
      <c r="M83" s="31" t="n"/>
      <c r="N83" s="31" t="n"/>
      <c r="O83" s="31" t="n"/>
      <c r="P83" s="31" t="inlineStr">
        <is>
          <t>TPM</t>
        </is>
      </c>
      <c r="Q83" s="31" t="inlineStr"/>
      <c r="R83" s="38" t="n"/>
      <c r="T83" s="38" t="n"/>
      <c r="V83" s="38" t="n"/>
      <c r="X83" s="38" t="n"/>
      <c r="Z83" s="38" t="n"/>
      <c r="AB83" s="38" t="n"/>
      <c r="AD83" s="48" t="inlineStr">
        <is>
          <t>TPM</t>
        </is>
      </c>
      <c r="AF83" s="38" t="n"/>
      <c r="AH83" s="38" t="n"/>
      <c r="AJ83" s="38" t="n"/>
      <c r="AL83" s="38" t="n"/>
      <c r="AN83" s="38" t="n"/>
      <c r="AP83" s="38" t="n"/>
      <c r="AR83" s="38" t="n"/>
      <c r="AT83" s="38" t="n"/>
      <c r="AV83" s="38" t="n"/>
      <c r="AX83" s="38" t="n"/>
      <c r="AZ83" s="38" t="n"/>
      <c r="BB83" s="38" t="n"/>
      <c r="BD83" s="38" t="n"/>
      <c r="BF83" s="38" t="n"/>
      <c r="BH83" s="38" t="n"/>
      <c r="BJ83" s="38" t="n"/>
      <c r="BL83" s="38" t="n"/>
      <c r="BN83" s="38" t="n"/>
      <c r="BP83" s="38" t="n"/>
      <c r="BR83" s="39" t="n"/>
      <c r="BT83" s="38" t="n"/>
      <c r="BV83" s="38" t="n"/>
      <c r="BX83" s="38" t="n"/>
      <c r="BZ83" s="38" t="n"/>
      <c r="CB83" s="38" t="n"/>
      <c r="CD83" s="38" t="n"/>
      <c r="CF83" s="38" t="n"/>
      <c r="CH83" s="38" t="n"/>
      <c r="CJ83" s="38" t="n"/>
    </row>
    <row r="84">
      <c r="A84" s="31" t="n"/>
      <c r="B84" s="31" t="n"/>
      <c r="C84" s="41">
        <f>HYPERLINK("https://app.asana.com/1/8556634603607/project/1215564565348002/task/1216072967479611","Asana task")</f>
        <v/>
      </c>
      <c r="D84" s="31" t="n"/>
      <c r="E84" s="31" t="n"/>
      <c r="F84" s="31" t="n"/>
      <c r="G84" s="31" t="n"/>
      <c r="H84" s="31" t="n"/>
      <c r="I84" s="31" t="n"/>
      <c r="J84" s="31" t="n"/>
      <c r="K84" s="31" t="n"/>
      <c r="L84" s="31" t="n"/>
      <c r="M84" s="31" t="n"/>
      <c r="N84" s="31" t="n"/>
      <c r="O84" s="31" t="n"/>
      <c r="P84" s="31" t="inlineStr">
        <is>
          <t>BE</t>
        </is>
      </c>
      <c r="Q84" s="31" t="n">
        <v>1</v>
      </c>
      <c r="R84" s="38" t="n"/>
      <c r="T84" s="38" t="n"/>
      <c r="V84" s="38" t="n"/>
      <c r="X84" s="38" t="n"/>
      <c r="Z84" s="38" t="n"/>
      <c r="AB84" s="38" t="n"/>
      <c r="AD84" s="38" t="n"/>
      <c r="AF84" s="38" t="n"/>
      <c r="AH84" s="38" t="n"/>
      <c r="AJ84" s="38" t="n"/>
      <c r="AL84" s="38" t="n"/>
      <c r="AN84" s="38" t="n"/>
      <c r="AP84" s="38" t="n"/>
      <c r="AR84" s="38" t="n"/>
      <c r="AT84" s="42" t="inlineStr">
        <is>
          <t>BE</t>
        </is>
      </c>
      <c r="AU84" s="14" t="n"/>
      <c r="AV84" s="38" t="n"/>
      <c r="AX84" s="38" t="n"/>
      <c r="AZ84" s="38" t="n"/>
      <c r="BB84" s="38" t="n"/>
      <c r="BD84" s="38" t="n"/>
      <c r="BF84" s="38" t="n"/>
      <c r="BH84" s="38" t="n"/>
      <c r="BJ84" s="38" t="n"/>
      <c r="BL84" s="38" t="n"/>
      <c r="BN84" s="38" t="n"/>
      <c r="BP84" s="38" t="n"/>
      <c r="BR84" s="39" t="n"/>
      <c r="BT84" s="38" t="n"/>
      <c r="BV84" s="38" t="n"/>
      <c r="BX84" s="38" t="n"/>
      <c r="BZ84" s="38" t="n"/>
      <c r="CB84" s="38" t="n"/>
      <c r="CD84" s="38" t="n"/>
      <c r="CF84" s="38" t="n"/>
      <c r="CH84" s="38" t="n"/>
      <c r="CJ84" s="38" t="n"/>
    </row>
    <row r="85">
      <c r="A85" s="31" t="n"/>
      <c r="B85" s="31" t="n"/>
      <c r="C85" s="31" t="n"/>
      <c r="D85" s="31" t="n"/>
      <c r="E85" s="31" t="n"/>
      <c r="F85" s="31" t="n"/>
      <c r="G85" s="31" t="n"/>
      <c r="H85" s="31" t="n"/>
      <c r="I85" s="31" t="n"/>
      <c r="J85" s="31" t="n"/>
      <c r="K85" s="31" t="n"/>
      <c r="L85" s="31" t="n"/>
      <c r="M85" s="31" t="n"/>
      <c r="N85" s="31" t="n"/>
      <c r="O85" s="31" t="n"/>
      <c r="P85" s="31" t="inlineStr">
        <is>
          <t>App</t>
        </is>
      </c>
      <c r="Q85" s="31" t="n">
        <v>1</v>
      </c>
      <c r="R85" s="38" t="n"/>
      <c r="T85" s="38" t="n"/>
      <c r="V85" s="38" t="n"/>
      <c r="X85" s="38" t="n"/>
      <c r="Z85" s="38" t="n"/>
      <c r="AB85" s="38" t="n"/>
      <c r="AD85" s="38" t="n"/>
      <c r="AF85" s="38" t="n"/>
      <c r="AH85" s="38" t="n"/>
      <c r="AJ85" s="38" t="n"/>
      <c r="AL85" s="38" t="n"/>
      <c r="AN85" s="38" t="n"/>
      <c r="AP85" s="38" t="n"/>
      <c r="AR85" s="38" t="n"/>
      <c r="AT85" s="38" t="n"/>
      <c r="AV85" s="38" t="n"/>
      <c r="AX85" s="49" t="inlineStr">
        <is>
          <t>App</t>
        </is>
      </c>
      <c r="AY85" s="15" t="n"/>
      <c r="AZ85" s="38" t="n"/>
      <c r="BB85" s="38" t="n"/>
      <c r="BD85" s="38" t="n"/>
      <c r="BF85" s="38" t="n"/>
      <c r="BH85" s="38" t="n"/>
      <c r="BJ85" s="38" t="n"/>
      <c r="BL85" s="38" t="n"/>
      <c r="BN85" s="38" t="n"/>
      <c r="BP85" s="38" t="n"/>
      <c r="BR85" s="39" t="n"/>
      <c r="BT85" s="38" t="n"/>
      <c r="BV85" s="38" t="n"/>
      <c r="BX85" s="38" t="n"/>
      <c r="BZ85" s="38" t="n"/>
      <c r="CB85" s="38" t="n"/>
      <c r="CD85" s="38" t="n"/>
      <c r="CF85" s="38" t="n"/>
      <c r="CH85" s="38" t="n"/>
      <c r="CJ85" s="38" t="n"/>
    </row>
    <row r="86">
      <c r="A86" s="31" t="n"/>
      <c r="B86" s="31" t="n"/>
      <c r="C86" s="31" t="n"/>
      <c r="D86" s="31" t="n"/>
      <c r="E86" s="31" t="n"/>
      <c r="F86" s="31" t="n"/>
      <c r="G86" s="31" t="n"/>
      <c r="H86" s="31" t="n"/>
      <c r="I86" s="31" t="n"/>
      <c r="J86" s="31" t="n"/>
      <c r="K86" s="31" t="n"/>
      <c r="L86" s="31" t="n"/>
      <c r="M86" s="31" t="n"/>
      <c r="N86" s="31" t="n"/>
      <c r="O86" s="31" t="n"/>
      <c r="P86" s="31" t="inlineStr">
        <is>
          <t>QA</t>
        </is>
      </c>
      <c r="Q86" s="31" t="inlineStr"/>
      <c r="R86" s="38" t="n"/>
      <c r="T86" s="38" t="n"/>
      <c r="V86" s="38" t="n"/>
      <c r="X86" s="38" t="n"/>
      <c r="Z86" s="38" t="n"/>
      <c r="AB86" s="38" t="n"/>
      <c r="AD86" s="38" t="n"/>
      <c r="AF86" s="38" t="n"/>
      <c r="AH86" s="38" t="n"/>
      <c r="AJ86" s="38" t="n"/>
      <c r="AL86" s="38" t="n"/>
      <c r="AN86" s="38" t="n"/>
      <c r="AP86" s="38" t="n"/>
      <c r="AR86" s="38" t="n"/>
      <c r="AT86" s="38" t="n"/>
      <c r="AV86" s="38" t="n"/>
      <c r="AX86" s="38" t="n"/>
      <c r="AZ86" s="43" t="inlineStr">
        <is>
          <t>QA</t>
        </is>
      </c>
      <c r="BB86" s="38" t="n"/>
      <c r="BD86" s="38" t="n"/>
      <c r="BF86" s="38" t="n"/>
      <c r="BH86" s="38" t="n"/>
      <c r="BJ86" s="38" t="n"/>
      <c r="BL86" s="38" t="n"/>
      <c r="BN86" s="38" t="n"/>
      <c r="BP86" s="38" t="n"/>
      <c r="BR86" s="39" t="n"/>
      <c r="BT86" s="38" t="n"/>
      <c r="BV86" s="38" t="n"/>
      <c r="BX86" s="38" t="n"/>
      <c r="BZ86" s="38" t="n"/>
      <c r="CB86" s="38" t="n"/>
      <c r="CD86" s="38" t="n"/>
      <c r="CF86" s="38" t="n"/>
      <c r="CH86" s="38" t="n"/>
      <c r="CJ86" s="38" t="n"/>
    </row>
    <row r="87">
      <c r="A87" s="28" t="inlineStr">
        <is>
          <t>Business Goal</t>
        </is>
      </c>
      <c r="B87" s="28" t="inlineStr">
        <is>
          <t>eGIFT</t>
        </is>
      </c>
      <c r="C87" s="34" t="inlineStr">
        <is>
          <t>#11 Fraud: integrate the outsourced eGift security layer</t>
        </is>
      </c>
      <c r="D87" s="28" t="inlineStr">
        <is>
          <t>Medium</t>
        </is>
      </c>
      <c r="E87" s="28" t="inlineStr">
        <is>
          <t>Q2</t>
        </is>
      </c>
      <c r="F87" s="28" t="inlineStr">
        <is>
          <t>Planned</t>
        </is>
      </c>
      <c r="G87" s="28" t="inlineStr">
        <is>
          <t>M</t>
        </is>
      </c>
      <c r="H87" s="28" t="inlineStr"/>
      <c r="I87" s="28" t="inlineStr"/>
      <c r="J87" s="28" t="inlineStr"/>
      <c r="K87" s="28" t="inlineStr"/>
      <c r="L87" s="28" t="inlineStr"/>
      <c r="M87" s="28" t="inlineStr"/>
      <c r="N87" s="28" t="inlineStr"/>
      <c r="O87" s="28" t="inlineStr"/>
      <c r="P87" s="28" t="inlineStr">
        <is>
          <t>PM</t>
        </is>
      </c>
      <c r="Q87" s="28" t="inlineStr"/>
      <c r="R87" s="35" t="n"/>
      <c r="T87" s="35" t="n"/>
      <c r="V87" s="35" t="n"/>
      <c r="X87" s="35" t="n"/>
      <c r="Z87" s="35" t="n"/>
      <c r="AA87" s="50" t="inlineStr">
        <is>
          <t>PM</t>
        </is>
      </c>
      <c r="AB87" s="51" t="n"/>
      <c r="AD87" s="35" t="n"/>
      <c r="AF87" s="35" t="n"/>
      <c r="AH87" s="35" t="n"/>
      <c r="AJ87" s="35" t="n"/>
      <c r="AL87" s="35" t="n"/>
      <c r="AN87" s="35" t="n"/>
      <c r="AP87" s="35" t="n"/>
      <c r="AR87" s="35" t="n"/>
      <c r="AT87" s="35" t="n"/>
      <c r="AV87" s="35" t="n"/>
      <c r="AX87" s="35" t="n"/>
      <c r="AZ87" s="35" t="n"/>
      <c r="BB87" s="35" t="n"/>
      <c r="BD87" s="35" t="n"/>
      <c r="BF87" s="35" t="n"/>
      <c r="BH87" s="35" t="n"/>
      <c r="BJ87" s="35" t="n"/>
      <c r="BL87" s="35" t="n"/>
      <c r="BN87" s="35" t="n"/>
      <c r="BP87" s="35" t="n"/>
      <c r="BR87" s="36" t="n"/>
      <c r="BT87" s="35" t="n"/>
      <c r="BV87" s="35" t="n"/>
      <c r="BX87" s="35" t="n"/>
      <c r="BZ87" s="35" t="n"/>
      <c r="CB87" s="35" t="n"/>
      <c r="CD87" s="35" t="n"/>
      <c r="CF87" s="35" t="n"/>
      <c r="CH87" s="35" t="n"/>
      <c r="CJ87" s="35" t="n"/>
    </row>
    <row r="88">
      <c r="A88" s="31" t="n"/>
      <c r="B88" s="31" t="n"/>
      <c r="C88" s="37" t="inlineStr">
        <is>
          <t>2 Nov 2026 to 23 May 2027</t>
        </is>
      </c>
      <c r="D88" s="31" t="n"/>
      <c r="E88" s="31" t="n"/>
      <c r="F88" s="31" t="n"/>
      <c r="G88" s="31" t="n"/>
      <c r="H88" s="31" t="n"/>
      <c r="I88" s="31" t="n"/>
      <c r="J88" s="31" t="n"/>
      <c r="K88" s="31" t="n"/>
      <c r="L88" s="31" t="n"/>
      <c r="M88" s="31" t="n"/>
      <c r="N88" s="31" t="n"/>
      <c r="O88" s="31" t="n"/>
      <c r="P88" s="31" t="inlineStr">
        <is>
          <t>Dsgn</t>
        </is>
      </c>
      <c r="Q88" s="31" t="n"/>
      <c r="R88" s="38" t="n"/>
      <c r="T88" s="38" t="n"/>
      <c r="V88" s="38" t="n"/>
      <c r="X88" s="38" t="n"/>
      <c r="Z88" s="38" t="n"/>
      <c r="AB88" s="38" t="n"/>
      <c r="AD88" s="38" t="n"/>
      <c r="AF88" s="38" t="n"/>
      <c r="AH88" s="38" t="n"/>
      <c r="AJ88" s="38" t="n"/>
      <c r="AL88" s="38" t="n"/>
      <c r="AN88" s="38" t="n"/>
      <c r="AP88" s="38" t="n"/>
      <c r="AR88" s="38" t="n"/>
      <c r="AT88" s="38" t="n"/>
      <c r="AV88" s="38" t="n"/>
      <c r="AX88" s="38" t="n"/>
      <c r="AZ88" s="38" t="n"/>
      <c r="BB88" s="38" t="n"/>
      <c r="BD88" s="38" t="n"/>
      <c r="BF88" s="38" t="n"/>
      <c r="BH88" s="38" t="n"/>
      <c r="BJ88" s="38" t="n"/>
      <c r="BL88" s="38" t="n"/>
      <c r="BN88" s="38" t="n"/>
      <c r="BP88" s="38" t="n"/>
      <c r="BR88" s="39" t="n"/>
      <c r="BT88" s="38" t="n"/>
      <c r="BV88" s="38" t="n"/>
      <c r="BX88" s="38" t="n"/>
      <c r="BZ88" s="38" t="n"/>
      <c r="CB88" s="38" t="n"/>
      <c r="CD88" s="38" t="n"/>
      <c r="CF88" s="38" t="n"/>
      <c r="CH88" s="38" t="n"/>
      <c r="CJ88" s="38" t="n"/>
    </row>
    <row r="89">
      <c r="A89" s="31" t="n"/>
      <c r="B89" s="31" t="n"/>
      <c r="C89" s="40" t="inlineStr">
        <is>
          <t>BE M (2 FTE spr) · App S (1 FTE spr) · Design -</t>
        </is>
      </c>
      <c r="D89" s="31" t="n"/>
      <c r="E89" s="31" t="n"/>
      <c r="F89" s="31" t="n"/>
      <c r="G89" s="31" t="n"/>
      <c r="H89" s="31" t="n"/>
      <c r="I89" s="31" t="n"/>
      <c r="J89" s="31" t="n"/>
      <c r="K89" s="31" t="n"/>
      <c r="L89" s="31" t="n"/>
      <c r="M89" s="31" t="n"/>
      <c r="N89" s="31" t="n"/>
      <c r="O89" s="31" t="n"/>
      <c r="P89" s="31" t="inlineStr">
        <is>
          <t>TPM</t>
        </is>
      </c>
      <c r="Q89" s="31" t="inlineStr"/>
      <c r="R89" s="38" t="n"/>
      <c r="T89" s="38" t="n"/>
      <c r="V89" s="38" t="n"/>
      <c r="X89" s="38" t="n"/>
      <c r="Z89" s="38" t="n"/>
      <c r="AB89" s="38" t="n"/>
      <c r="AD89" s="38" t="n"/>
      <c r="AE89" s="45" t="inlineStr">
        <is>
          <t>TPM</t>
        </is>
      </c>
      <c r="AF89" s="38" t="n"/>
      <c r="AH89" s="38" t="n"/>
      <c r="AJ89" s="38" t="n"/>
      <c r="AL89" s="38" t="n"/>
      <c r="AN89" s="38" t="n"/>
      <c r="AP89" s="38" t="n"/>
      <c r="AR89" s="38" t="n"/>
      <c r="AT89" s="38" t="n"/>
      <c r="AV89" s="38" t="n"/>
      <c r="AX89" s="38" t="n"/>
      <c r="AZ89" s="38" t="n"/>
      <c r="BB89" s="38" t="n"/>
      <c r="BD89" s="38" t="n"/>
      <c r="BF89" s="38" t="n"/>
      <c r="BH89" s="38" t="n"/>
      <c r="BJ89" s="38" t="n"/>
      <c r="BL89" s="38" t="n"/>
      <c r="BN89" s="38" t="n"/>
      <c r="BP89" s="38" t="n"/>
      <c r="BR89" s="39" t="n"/>
      <c r="BT89" s="38" t="n"/>
      <c r="BV89" s="38" t="n"/>
      <c r="BX89" s="38" t="n"/>
      <c r="BZ89" s="38" t="n"/>
      <c r="CB89" s="38" t="n"/>
      <c r="CD89" s="38" t="n"/>
      <c r="CF89" s="38" t="n"/>
      <c r="CH89" s="38" t="n"/>
      <c r="CJ89" s="38" t="n"/>
    </row>
    <row r="90">
      <c r="A90" s="31" t="n"/>
      <c r="B90" s="31" t="n"/>
      <c r="C90" s="41">
        <f>HYPERLINK("https://app.asana.com/1/8556634603607/project/1215564565348002/task/1215781833204001","Asana task")</f>
        <v/>
      </c>
      <c r="D90" s="31" t="n"/>
      <c r="E90" s="31" t="n"/>
      <c r="F90" s="31" t="n"/>
      <c r="G90" s="31" t="n"/>
      <c r="H90" s="31" t="n"/>
      <c r="I90" s="31" t="n"/>
      <c r="J90" s="31" t="n"/>
      <c r="K90" s="31" t="n"/>
      <c r="L90" s="31" t="n"/>
      <c r="M90" s="31" t="n"/>
      <c r="N90" s="31" t="n"/>
      <c r="O90" s="31" t="n"/>
      <c r="P90" s="31" t="inlineStr">
        <is>
          <t>BE</t>
        </is>
      </c>
      <c r="Q90" s="31" t="n">
        <v>1</v>
      </c>
      <c r="R90" s="38" t="n"/>
      <c r="T90" s="38" t="n"/>
      <c r="V90" s="38" t="n"/>
      <c r="X90" s="38" t="n"/>
      <c r="Z90" s="38" t="n"/>
      <c r="AB90" s="38" t="n"/>
      <c r="AD90" s="38" t="n"/>
      <c r="AF90" s="38" t="n"/>
      <c r="AH90" s="38" t="n"/>
      <c r="AJ90" s="38" t="n"/>
      <c r="AL90" s="38" t="n"/>
      <c r="AN90" s="38" t="n"/>
      <c r="AP90" s="38" t="n"/>
      <c r="AR90" s="38" t="n"/>
      <c r="AT90" s="42" t="inlineStr">
        <is>
          <t>BE</t>
        </is>
      </c>
      <c r="AU90" s="14" t="n"/>
      <c r="AV90" s="46" t="n"/>
      <c r="AW90" s="14" t="n"/>
      <c r="AX90" s="38" t="n"/>
      <c r="AZ90" s="38" t="n"/>
      <c r="BB90" s="38" t="n"/>
      <c r="BD90" s="38" t="n"/>
      <c r="BF90" s="38" t="n"/>
      <c r="BH90" s="38" t="n"/>
      <c r="BJ90" s="38" t="n"/>
      <c r="BL90" s="38" t="n"/>
      <c r="BN90" s="38" t="n"/>
      <c r="BP90" s="38" t="n"/>
      <c r="BR90" s="39" t="n"/>
      <c r="BT90" s="38" t="n"/>
      <c r="BV90" s="38" t="n"/>
      <c r="BX90" s="38" t="n"/>
      <c r="BZ90" s="38" t="n"/>
      <c r="CB90" s="38" t="n"/>
      <c r="CD90" s="38" t="n"/>
      <c r="CF90" s="38" t="n"/>
      <c r="CH90" s="38" t="n"/>
      <c r="CJ90" s="38" t="n"/>
    </row>
    <row r="91">
      <c r="A91" s="31" t="n"/>
      <c r="B91" s="31" t="n"/>
      <c r="C91" s="31" t="n"/>
      <c r="D91" s="31" t="n"/>
      <c r="E91" s="31" t="n"/>
      <c r="F91" s="31" t="n"/>
      <c r="G91" s="31" t="n"/>
      <c r="H91" s="31" t="n"/>
      <c r="I91" s="31" t="n"/>
      <c r="J91" s="31" t="n"/>
      <c r="K91" s="31" t="n"/>
      <c r="L91" s="31" t="n"/>
      <c r="M91" s="31" t="n"/>
      <c r="N91" s="31" t="n"/>
      <c r="O91" s="31" t="n"/>
      <c r="P91" s="31" t="inlineStr">
        <is>
          <t>App</t>
        </is>
      </c>
      <c r="Q91" s="31" t="n">
        <v>1</v>
      </c>
      <c r="R91" s="38" t="n"/>
      <c r="T91" s="38" t="n"/>
      <c r="V91" s="38" t="n"/>
      <c r="X91" s="38" t="n"/>
      <c r="Z91" s="38" t="n"/>
      <c r="AB91" s="38" t="n"/>
      <c r="AD91" s="38" t="n"/>
      <c r="AF91" s="38" t="n"/>
      <c r="AH91" s="38" t="n"/>
      <c r="AJ91" s="38" t="n"/>
      <c r="AL91" s="38" t="n"/>
      <c r="AN91" s="38" t="n"/>
      <c r="AP91" s="38" t="n"/>
      <c r="AR91" s="38" t="n"/>
      <c r="AT91" s="38" t="n"/>
      <c r="AV91" s="38" t="n"/>
      <c r="AX91" s="38" t="n"/>
      <c r="AZ91" s="49" t="inlineStr">
        <is>
          <t>App</t>
        </is>
      </c>
      <c r="BA91" s="15" t="n"/>
      <c r="BB91" s="38" t="n"/>
      <c r="BD91" s="38" t="n"/>
      <c r="BF91" s="38" t="n"/>
      <c r="BH91" s="38" t="n"/>
      <c r="BJ91" s="38" t="n"/>
      <c r="BL91" s="38" t="n"/>
      <c r="BN91" s="38" t="n"/>
      <c r="BP91" s="38" t="n"/>
      <c r="BR91" s="39" t="n"/>
      <c r="BT91" s="38" t="n"/>
      <c r="BV91" s="38" t="n"/>
      <c r="BX91" s="38" t="n"/>
      <c r="BZ91" s="38" t="n"/>
      <c r="CB91" s="38" t="n"/>
      <c r="CD91" s="38" t="n"/>
      <c r="CF91" s="38" t="n"/>
      <c r="CH91" s="38" t="n"/>
      <c r="CJ91" s="38" t="n"/>
    </row>
    <row r="92">
      <c r="A92" s="31" t="n"/>
      <c r="B92" s="31" t="n"/>
      <c r="C92" s="31" t="n"/>
      <c r="D92" s="31" t="n"/>
      <c r="E92" s="31" t="n"/>
      <c r="F92" s="31" t="n"/>
      <c r="G92" s="31" t="n"/>
      <c r="H92" s="31" t="n"/>
      <c r="I92" s="31" t="n"/>
      <c r="J92" s="31" t="n"/>
      <c r="K92" s="31" t="n"/>
      <c r="L92" s="31" t="n"/>
      <c r="M92" s="31" t="n"/>
      <c r="N92" s="31" t="n"/>
      <c r="O92" s="31" t="n"/>
      <c r="P92" s="31" t="inlineStr">
        <is>
          <t>QA</t>
        </is>
      </c>
      <c r="Q92" s="31" t="inlineStr"/>
      <c r="R92" s="38" t="n"/>
      <c r="T92" s="38" t="n"/>
      <c r="V92" s="38" t="n"/>
      <c r="X92" s="38" t="n"/>
      <c r="Z92" s="38" t="n"/>
      <c r="AB92" s="38" t="n"/>
      <c r="AD92" s="38" t="n"/>
      <c r="AF92" s="38" t="n"/>
      <c r="AH92" s="38" t="n"/>
      <c r="AJ92" s="38" t="n"/>
      <c r="AL92" s="38" t="n"/>
      <c r="AN92" s="38" t="n"/>
      <c r="AP92" s="38" t="n"/>
      <c r="AR92" s="38" t="n"/>
      <c r="AT92" s="38" t="n"/>
      <c r="AV92" s="38" t="n"/>
      <c r="AX92" s="38" t="n"/>
      <c r="AZ92" s="38" t="n"/>
      <c r="BB92" s="43" t="inlineStr">
        <is>
          <t>QA</t>
        </is>
      </c>
      <c r="BC92" s="16" t="n"/>
      <c r="BD92" s="38" t="n"/>
      <c r="BF92" s="38" t="n"/>
      <c r="BH92" s="38" t="n"/>
      <c r="BJ92" s="38" t="n"/>
      <c r="BL92" s="38" t="n"/>
      <c r="BN92" s="38" t="n"/>
      <c r="BP92" s="38" t="n"/>
      <c r="BR92" s="39" t="n"/>
      <c r="BT92" s="38" t="n"/>
      <c r="BV92" s="38" t="n"/>
      <c r="BX92" s="38" t="n"/>
      <c r="BZ92" s="38" t="n"/>
      <c r="CB92" s="38" t="n"/>
      <c r="CD92" s="38" t="n"/>
      <c r="CF92" s="38" t="n"/>
      <c r="CH92" s="38" t="n"/>
      <c r="CJ92" s="38" t="n"/>
    </row>
    <row r="93">
      <c r="A93" s="28" t="inlineStr">
        <is>
          <t>Board Goal</t>
        </is>
      </c>
      <c r="B93" s="28" t="inlineStr">
        <is>
          <t>MTU</t>
        </is>
      </c>
      <c r="C93" s="34" t="inlineStr">
        <is>
          <t>#12 Support sponsor calling plans and cross-sell them in the IMTU flow</t>
        </is>
      </c>
      <c r="D93" s="28" t="inlineStr">
        <is>
          <t>High</t>
        </is>
      </c>
      <c r="E93" s="28" t="inlineStr">
        <is>
          <t>Q2</t>
        </is>
      </c>
      <c r="F93" s="28" t="inlineStr">
        <is>
          <t>Planned</t>
        </is>
      </c>
      <c r="G93" s="28" t="inlineStr">
        <is>
          <t>M</t>
        </is>
      </c>
      <c r="H93" s="28" t="inlineStr"/>
      <c r="I93" s="28" t="inlineStr"/>
      <c r="J93" s="28" t="inlineStr"/>
      <c r="K93" s="28" t="inlineStr"/>
      <c r="L93" s="28" t="inlineStr"/>
      <c r="M93" s="28" t="inlineStr"/>
      <c r="N93" s="28" t="inlineStr"/>
      <c r="O93" s="28" t="inlineStr"/>
      <c r="P93" s="28" t="inlineStr">
        <is>
          <t>PM</t>
        </is>
      </c>
      <c r="Q93" s="28" t="inlineStr"/>
      <c r="R93" s="35" t="n"/>
      <c r="T93" s="35" t="n"/>
      <c r="V93" s="35" t="n"/>
      <c r="X93" s="35" t="n"/>
      <c r="Z93" s="35" t="n"/>
      <c r="AB93" s="44" t="inlineStr">
        <is>
          <t>PM</t>
        </is>
      </c>
      <c r="AC93" s="11" t="n"/>
      <c r="AD93" s="35" t="n"/>
      <c r="AF93" s="35" t="n"/>
      <c r="AH93" s="35" t="n"/>
      <c r="AJ93" s="35" t="n"/>
      <c r="AL93" s="35" t="n"/>
      <c r="AN93" s="35" t="n"/>
      <c r="AP93" s="35" t="n"/>
      <c r="AR93" s="35" t="n"/>
      <c r="AT93" s="35" t="n"/>
      <c r="AV93" s="35" t="n"/>
      <c r="AX93" s="35" t="n"/>
      <c r="AZ93" s="35" t="n"/>
      <c r="BB93" s="35" t="n"/>
      <c r="BD93" s="35" t="n"/>
      <c r="BF93" s="35" t="n"/>
      <c r="BH93" s="35" t="n"/>
      <c r="BJ93" s="35" t="n"/>
      <c r="BL93" s="35" t="n"/>
      <c r="BN93" s="35" t="n"/>
      <c r="BP93" s="35" t="n"/>
      <c r="BR93" s="36" t="n"/>
      <c r="BT93" s="35" t="n"/>
      <c r="BV93" s="35" t="n"/>
      <c r="BX93" s="35" t="n"/>
      <c r="BZ93" s="35" t="n"/>
      <c r="CB93" s="35" t="n"/>
      <c r="CD93" s="35" t="n"/>
      <c r="CF93" s="35" t="n"/>
      <c r="CH93" s="35" t="n"/>
      <c r="CJ93" s="35" t="n"/>
    </row>
    <row r="94">
      <c r="A94" s="31" t="n"/>
      <c r="B94" s="31" t="n"/>
      <c r="C94" s="37" t="inlineStr">
        <is>
          <t>9 Nov 2026 to 6 Jun 2027</t>
        </is>
      </c>
      <c r="D94" s="31" t="n"/>
      <c r="E94" s="31" t="n"/>
      <c r="F94" s="31" t="n"/>
      <c r="G94" s="31" t="n"/>
      <c r="H94" s="31" t="n"/>
      <c r="I94" s="31" t="n"/>
      <c r="J94" s="31" t="n"/>
      <c r="K94" s="31" t="n"/>
      <c r="L94" s="31" t="n"/>
      <c r="M94" s="31" t="n"/>
      <c r="N94" s="31" t="n"/>
      <c r="O94" s="31" t="n"/>
      <c r="P94" s="31" t="inlineStr">
        <is>
          <t>Dsgn</t>
        </is>
      </c>
      <c r="Q94" s="31" t="inlineStr"/>
      <c r="R94" s="38" t="n"/>
      <c r="T94" s="38" t="n"/>
      <c r="V94" s="38" t="n"/>
      <c r="X94" s="38" t="n"/>
      <c r="Z94" s="38" t="n"/>
      <c r="AB94" s="38" t="n"/>
      <c r="AD94" s="47" t="inlineStr">
        <is>
          <t>Dsgn</t>
        </is>
      </c>
      <c r="AE94" s="12" t="n"/>
      <c r="AF94" s="38" t="n"/>
      <c r="AH94" s="38" t="n"/>
      <c r="AJ94" s="38" t="n"/>
      <c r="AL94" s="38" t="n"/>
      <c r="AN94" s="38" t="n"/>
      <c r="AP94" s="38" t="n"/>
      <c r="AR94" s="38" t="n"/>
      <c r="AT94" s="38" t="n"/>
      <c r="AV94" s="38" t="n"/>
      <c r="AX94" s="38" t="n"/>
      <c r="AZ94" s="38" t="n"/>
      <c r="BB94" s="38" t="n"/>
      <c r="BD94" s="38" t="n"/>
      <c r="BF94" s="38" t="n"/>
      <c r="BH94" s="38" t="n"/>
      <c r="BJ94" s="38" t="n"/>
      <c r="BL94" s="38" t="n"/>
      <c r="BN94" s="38" t="n"/>
      <c r="BP94" s="38" t="n"/>
      <c r="BR94" s="39" t="n"/>
      <c r="BT94" s="38" t="n"/>
      <c r="BV94" s="38" t="n"/>
      <c r="BX94" s="38" t="n"/>
      <c r="BZ94" s="38" t="n"/>
      <c r="CB94" s="38" t="n"/>
      <c r="CD94" s="38" t="n"/>
      <c r="CF94" s="38" t="n"/>
      <c r="CH94" s="38" t="n"/>
      <c r="CJ94" s="38" t="n"/>
    </row>
    <row r="95">
      <c r="A95" s="31" t="n"/>
      <c r="B95" s="31" t="n"/>
      <c r="C95" s="40" t="inlineStr">
        <is>
          <t>BE M (2 FTE spr) · App M (2 FTE spr) · Design S</t>
        </is>
      </c>
      <c r="D95" s="31" t="n"/>
      <c r="E95" s="31" t="n"/>
      <c r="F95" s="31" t="n"/>
      <c r="G95" s="31" t="n"/>
      <c r="H95" s="31" t="n"/>
      <c r="I95" s="31" t="n"/>
      <c r="J95" s="31" t="n"/>
      <c r="K95" s="31" t="n"/>
      <c r="L95" s="31" t="n"/>
      <c r="M95" s="31" t="n"/>
      <c r="N95" s="31" t="n"/>
      <c r="O95" s="31" t="n"/>
      <c r="P95" s="31" t="inlineStr">
        <is>
          <t>TPM</t>
        </is>
      </c>
      <c r="Q95" s="31" t="inlineStr"/>
      <c r="R95" s="38" t="n"/>
      <c r="T95" s="38" t="n"/>
      <c r="V95" s="38" t="n"/>
      <c r="X95" s="38" t="n"/>
      <c r="Z95" s="38" t="n"/>
      <c r="AB95" s="38" t="n"/>
      <c r="AD95" s="38" t="n"/>
      <c r="AF95" s="48" t="inlineStr">
        <is>
          <t>TPM</t>
        </is>
      </c>
      <c r="AH95" s="38" t="n"/>
      <c r="AJ95" s="38" t="n"/>
      <c r="AL95" s="38" t="n"/>
      <c r="AN95" s="38" t="n"/>
      <c r="AP95" s="38" t="n"/>
      <c r="AR95" s="38" t="n"/>
      <c r="AT95" s="38" t="n"/>
      <c r="AV95" s="38" t="n"/>
      <c r="AX95" s="38" t="n"/>
      <c r="AZ95" s="38" t="n"/>
      <c r="BB95" s="38" t="n"/>
      <c r="BD95" s="38" t="n"/>
      <c r="BF95" s="38" t="n"/>
      <c r="BH95" s="38" t="n"/>
      <c r="BJ95" s="38" t="n"/>
      <c r="BL95" s="38" t="n"/>
      <c r="BN95" s="38" t="n"/>
      <c r="BP95" s="38" t="n"/>
      <c r="BR95" s="39" t="n"/>
      <c r="BT95" s="38" t="n"/>
      <c r="BV95" s="38" t="n"/>
      <c r="BX95" s="38" t="n"/>
      <c r="BZ95" s="38" t="n"/>
      <c r="CB95" s="38" t="n"/>
      <c r="CD95" s="38" t="n"/>
      <c r="CF95" s="38" t="n"/>
      <c r="CH95" s="38" t="n"/>
      <c r="CJ95" s="38" t="n"/>
    </row>
    <row r="96">
      <c r="A96" s="31" t="n"/>
      <c r="B96" s="31" t="n"/>
      <c r="C96" s="41">
        <f>HYPERLINK("https://app.asana.com/1/8556634603607/project/1215564565348002/task/1218156429240267","Asana task")</f>
        <v/>
      </c>
      <c r="D96" s="31" t="n"/>
      <c r="E96" s="31" t="n"/>
      <c r="F96" s="31" t="n"/>
      <c r="G96" s="31" t="n"/>
      <c r="H96" s="31" t="n"/>
      <c r="I96" s="31" t="n"/>
      <c r="J96" s="31" t="n"/>
      <c r="K96" s="31" t="n"/>
      <c r="L96" s="31" t="n"/>
      <c r="M96" s="31" t="n"/>
      <c r="N96" s="31" t="n"/>
      <c r="O96" s="31" t="n"/>
      <c r="P96" s="31" t="inlineStr">
        <is>
          <t>BE</t>
        </is>
      </c>
      <c r="Q96" s="31" t="n">
        <v>1</v>
      </c>
      <c r="R96" s="38" t="n"/>
      <c r="T96" s="38" t="n"/>
      <c r="V96" s="38" t="n"/>
      <c r="X96" s="38" t="n"/>
      <c r="Z96" s="38" t="n"/>
      <c r="AB96" s="38" t="n"/>
      <c r="AD96" s="38" t="n"/>
      <c r="AF96" s="38" t="n"/>
      <c r="AH96" s="38" t="n"/>
      <c r="AJ96" s="38" t="n"/>
      <c r="AL96" s="38" t="n"/>
      <c r="AN96" s="38" t="n"/>
      <c r="AP96" s="38" t="n"/>
      <c r="AR96" s="38" t="n"/>
      <c r="AT96" s="38" t="n"/>
      <c r="AV96" s="42" t="inlineStr">
        <is>
          <t>BE</t>
        </is>
      </c>
      <c r="AW96" s="14" t="n"/>
      <c r="AX96" s="46" t="n"/>
      <c r="AY96" s="14" t="n"/>
      <c r="AZ96" s="38" t="n"/>
      <c r="BB96" s="38" t="n"/>
      <c r="BD96" s="38" t="n"/>
      <c r="BF96" s="38" t="n"/>
      <c r="BH96" s="38" t="n"/>
      <c r="BJ96" s="38" t="n"/>
      <c r="BL96" s="38" t="n"/>
      <c r="BN96" s="38" t="n"/>
      <c r="BP96" s="38" t="n"/>
      <c r="BR96" s="39" t="n"/>
      <c r="BT96" s="38" t="n"/>
      <c r="BV96" s="38" t="n"/>
      <c r="BX96" s="38" t="n"/>
      <c r="BZ96" s="38" t="n"/>
      <c r="CB96" s="38" t="n"/>
      <c r="CD96" s="38" t="n"/>
      <c r="CF96" s="38" t="n"/>
      <c r="CH96" s="38" t="n"/>
      <c r="CJ96" s="38" t="n"/>
    </row>
    <row r="97">
      <c r="A97" s="31" t="n"/>
      <c r="B97" s="31" t="n"/>
      <c r="C97" s="31" t="n"/>
      <c r="D97" s="31" t="n"/>
      <c r="E97" s="31" t="n"/>
      <c r="F97" s="31" t="n"/>
      <c r="G97" s="31" t="n"/>
      <c r="H97" s="31" t="n"/>
      <c r="I97" s="31" t="n"/>
      <c r="J97" s="31" t="n"/>
      <c r="K97" s="31" t="n"/>
      <c r="L97" s="31" t="n"/>
      <c r="M97" s="31" t="n"/>
      <c r="N97" s="31" t="n"/>
      <c r="O97" s="31" t="n"/>
      <c r="P97" s="31" t="inlineStr">
        <is>
          <t>App</t>
        </is>
      </c>
      <c r="Q97" s="31" t="n">
        <v>1</v>
      </c>
      <c r="R97" s="38" t="n"/>
      <c r="T97" s="38" t="n"/>
      <c r="V97" s="38" t="n"/>
      <c r="X97" s="38" t="n"/>
      <c r="Z97" s="38" t="n"/>
      <c r="AB97" s="38" t="n"/>
      <c r="AD97" s="38" t="n"/>
      <c r="AF97" s="38" t="n"/>
      <c r="AH97" s="38" t="n"/>
      <c r="AJ97" s="38" t="n"/>
      <c r="AL97" s="38" t="n"/>
      <c r="AN97" s="38" t="n"/>
      <c r="AP97" s="38" t="n"/>
      <c r="AR97" s="38" t="n"/>
      <c r="AT97" s="38" t="n"/>
      <c r="AV97" s="38" t="n"/>
      <c r="AX97" s="38" t="n"/>
      <c r="AZ97" s="49" t="inlineStr">
        <is>
          <t>App</t>
        </is>
      </c>
      <c r="BA97" s="15" t="n"/>
      <c r="BB97" s="54" t="n"/>
      <c r="BC97" s="15" t="n"/>
      <c r="BD97" s="38" t="n"/>
      <c r="BF97" s="38" t="n"/>
      <c r="BH97" s="38" t="n"/>
      <c r="BJ97" s="38" t="n"/>
      <c r="BL97" s="38" t="n"/>
      <c r="BN97" s="38" t="n"/>
      <c r="BP97" s="38" t="n"/>
      <c r="BR97" s="39" t="n"/>
      <c r="BT97" s="38" t="n"/>
      <c r="BV97" s="38" t="n"/>
      <c r="BX97" s="38" t="n"/>
      <c r="BZ97" s="38" t="n"/>
      <c r="CB97" s="38" t="n"/>
      <c r="CD97" s="38" t="n"/>
      <c r="CF97" s="38" t="n"/>
      <c r="CH97" s="38" t="n"/>
      <c r="CJ97" s="38" t="n"/>
    </row>
    <row r="98">
      <c r="A98" s="31" t="n"/>
      <c r="B98" s="31" t="n"/>
      <c r="C98" s="31" t="n"/>
      <c r="D98" s="31" t="n"/>
      <c r="E98" s="31" t="n"/>
      <c r="F98" s="31" t="n"/>
      <c r="G98" s="31" t="n"/>
      <c r="H98" s="31" t="n"/>
      <c r="I98" s="31" t="n"/>
      <c r="J98" s="31" t="n"/>
      <c r="K98" s="31" t="n"/>
      <c r="L98" s="31" t="n"/>
      <c r="M98" s="31" t="n"/>
      <c r="N98" s="31" t="n"/>
      <c r="O98" s="31" t="n"/>
      <c r="P98" s="31" t="inlineStr">
        <is>
          <t>QA</t>
        </is>
      </c>
      <c r="Q98" s="31" t="inlineStr"/>
      <c r="R98" s="38" t="n"/>
      <c r="T98" s="38" t="n"/>
      <c r="V98" s="38" t="n"/>
      <c r="X98" s="38" t="n"/>
      <c r="Z98" s="38" t="n"/>
      <c r="AB98" s="38" t="n"/>
      <c r="AD98" s="38" t="n"/>
      <c r="AF98" s="38" t="n"/>
      <c r="AH98" s="38" t="n"/>
      <c r="AJ98" s="38" t="n"/>
      <c r="AL98" s="38" t="n"/>
      <c r="AN98" s="38" t="n"/>
      <c r="AP98" s="38" t="n"/>
      <c r="AR98" s="38" t="n"/>
      <c r="AT98" s="38" t="n"/>
      <c r="AV98" s="38" t="n"/>
      <c r="AX98" s="38" t="n"/>
      <c r="AZ98" s="38" t="n"/>
      <c r="BB98" s="38" t="n"/>
      <c r="BD98" s="43" t="inlineStr">
        <is>
          <t>QA</t>
        </is>
      </c>
      <c r="BE98" s="16" t="n"/>
      <c r="BF98" s="38" t="n"/>
      <c r="BH98" s="38" t="n"/>
      <c r="BJ98" s="38" t="n"/>
      <c r="BL98" s="38" t="n"/>
      <c r="BN98" s="38" t="n"/>
      <c r="BP98" s="38" t="n"/>
      <c r="BR98" s="39" t="n"/>
      <c r="BT98" s="38" t="n"/>
      <c r="BV98" s="38" t="n"/>
      <c r="BX98" s="38" t="n"/>
      <c r="BZ98" s="38" t="n"/>
      <c r="CB98" s="38" t="n"/>
      <c r="CD98" s="38" t="n"/>
      <c r="CF98" s="38" t="n"/>
      <c r="CH98" s="38" t="n"/>
      <c r="CJ98" s="38" t="n"/>
    </row>
    <row r="99">
      <c r="A99" s="28" t="inlineStr">
        <is>
          <t>Board Goal</t>
        </is>
      </c>
      <c r="B99" s="28" t="inlineStr">
        <is>
          <t>All Products</t>
        </is>
      </c>
      <c r="C99" s="34" t="inlineStr">
        <is>
          <t>#13 Introduce bundling capabilities for DTC</t>
        </is>
      </c>
      <c r="D99" s="28" t="inlineStr">
        <is>
          <t>High</t>
        </is>
      </c>
      <c r="E99" s="28" t="inlineStr">
        <is>
          <t>Q3</t>
        </is>
      </c>
      <c r="F99" s="28" t="inlineStr">
        <is>
          <t>Planned</t>
        </is>
      </c>
      <c r="G99" s="28" t="inlineStr">
        <is>
          <t>XL</t>
        </is>
      </c>
      <c r="H99" s="28" t="inlineStr"/>
      <c r="I99" s="28" t="inlineStr"/>
      <c r="J99" s="28" t="inlineStr"/>
      <c r="K99" s="28" t="inlineStr"/>
      <c r="L99" s="28" t="inlineStr"/>
      <c r="M99" s="28" t="inlineStr"/>
      <c r="N99" s="28" t="inlineStr"/>
      <c r="O99" s="28" t="inlineStr"/>
      <c r="P99" s="28" t="inlineStr">
        <is>
          <t>PM</t>
        </is>
      </c>
      <c r="Q99" s="28" t="inlineStr"/>
      <c r="R99" s="35" t="n"/>
      <c r="T99" s="35" t="n"/>
      <c r="V99" s="35" t="n"/>
      <c r="X99" s="35" t="n"/>
      <c r="Z99" s="35" t="n"/>
      <c r="AB99" s="35" t="n"/>
      <c r="AD99" s="35" t="n"/>
      <c r="AF99" s="35" t="n"/>
      <c r="AH99" s="35" t="n"/>
      <c r="AJ99" s="44" t="inlineStr">
        <is>
          <t>PM</t>
        </is>
      </c>
      <c r="AK99" s="11" t="n"/>
      <c r="AL99" s="51" t="n"/>
      <c r="AM99" s="11" t="n"/>
      <c r="AN99" s="35" t="n"/>
      <c r="AP99" s="35" t="n"/>
      <c r="AR99" s="35" t="n"/>
      <c r="AT99" s="35" t="n"/>
      <c r="AV99" s="35" t="n"/>
      <c r="AX99" s="35" t="n"/>
      <c r="AZ99" s="35" t="n"/>
      <c r="BB99" s="35" t="n"/>
      <c r="BD99" s="35" t="n"/>
      <c r="BF99" s="35" t="n"/>
      <c r="BH99" s="35" t="n"/>
      <c r="BJ99" s="35" t="n"/>
      <c r="BL99" s="35" t="n"/>
      <c r="BN99" s="35" t="n"/>
      <c r="BP99" s="35" t="n"/>
      <c r="BR99" s="36" t="n"/>
      <c r="BT99" s="35" t="n"/>
      <c r="BV99" s="35" t="n"/>
      <c r="BX99" s="35" t="n"/>
      <c r="BZ99" s="35" t="n"/>
      <c r="CB99" s="35" t="n"/>
      <c r="CD99" s="35" t="n"/>
      <c r="CF99" s="35" t="n"/>
      <c r="CH99" s="35" t="n"/>
      <c r="CJ99" s="35" t="n"/>
    </row>
    <row r="100">
      <c r="A100" s="31" t="n"/>
      <c r="B100" s="31" t="n"/>
      <c r="C100" s="37" t="inlineStr">
        <is>
          <t>4 Jan 2027 to 15 Aug 2027</t>
        </is>
      </c>
      <c r="D100" s="31" t="n"/>
      <c r="E100" s="31" t="n"/>
      <c r="F100" s="31" t="n"/>
      <c r="G100" s="31" t="n"/>
      <c r="H100" s="31" t="n"/>
      <c r="I100" s="31" t="n"/>
      <c r="J100" s="31" t="n"/>
      <c r="K100" s="31" t="n"/>
      <c r="L100" s="31" t="n"/>
      <c r="M100" s="31" t="n"/>
      <c r="N100" s="31" t="n"/>
      <c r="O100" s="31" t="n"/>
      <c r="P100" s="31" t="inlineStr">
        <is>
          <t>Dsgn</t>
        </is>
      </c>
      <c r="Q100" s="31" t="inlineStr"/>
      <c r="R100" s="38" t="n"/>
      <c r="T100" s="38" t="n"/>
      <c r="V100" s="38" t="n"/>
      <c r="X100" s="38" t="n"/>
      <c r="Z100" s="38" t="n"/>
      <c r="AB100" s="38" t="n"/>
      <c r="AD100" s="38" t="n"/>
      <c r="AF100" s="38" t="n"/>
      <c r="AH100" s="38" t="n"/>
      <c r="AJ100" s="38" t="n"/>
      <c r="AL100" s="38" t="n"/>
      <c r="AN100" s="47" t="inlineStr">
        <is>
          <t>Dsgn</t>
        </is>
      </c>
      <c r="AO100" s="12" t="n"/>
      <c r="AP100" s="53" t="n"/>
      <c r="AQ100" s="12" t="n"/>
      <c r="AR100" s="38" t="n"/>
      <c r="AT100" s="38" t="n"/>
      <c r="AV100" s="38" t="n"/>
      <c r="AX100" s="38" t="n"/>
      <c r="AZ100" s="38" t="n"/>
      <c r="BB100" s="38" t="n"/>
      <c r="BD100" s="38" t="n"/>
      <c r="BF100" s="38" t="n"/>
      <c r="BH100" s="38" t="n"/>
      <c r="BJ100" s="38" t="n"/>
      <c r="BL100" s="38" t="n"/>
      <c r="BN100" s="38" t="n"/>
      <c r="BP100" s="38" t="n"/>
      <c r="BR100" s="39" t="n"/>
      <c r="BT100" s="38" t="n"/>
      <c r="BV100" s="38" t="n"/>
      <c r="BX100" s="38" t="n"/>
      <c r="BZ100" s="38" t="n"/>
      <c r="CB100" s="38" t="n"/>
      <c r="CD100" s="38" t="n"/>
      <c r="CF100" s="38" t="n"/>
      <c r="CH100" s="38" t="n"/>
      <c r="CJ100" s="38" t="n"/>
    </row>
    <row r="101">
      <c r="A101" s="31" t="n"/>
      <c r="B101" s="31" t="n"/>
      <c r="C101" s="40" t="inlineStr">
        <is>
          <t>BE XL (9 FTE spr) · App L (4 FTE spr) · Design L</t>
        </is>
      </c>
      <c r="D101" s="31" t="n"/>
      <c r="E101" s="31" t="n"/>
      <c r="F101" s="31" t="n"/>
      <c r="G101" s="31" t="n"/>
      <c r="H101" s="31" t="n"/>
      <c r="I101" s="31" t="n"/>
      <c r="J101" s="31" t="n"/>
      <c r="K101" s="31" t="n"/>
      <c r="L101" s="31" t="n"/>
      <c r="M101" s="31" t="n"/>
      <c r="N101" s="31" t="n"/>
      <c r="O101" s="31" t="n"/>
      <c r="P101" s="31" t="inlineStr">
        <is>
          <t>TPM</t>
        </is>
      </c>
      <c r="Q101" s="31" t="inlineStr"/>
      <c r="R101" s="38" t="n"/>
      <c r="T101" s="38" t="n"/>
      <c r="V101" s="38" t="n"/>
      <c r="X101" s="38" t="n"/>
      <c r="Z101" s="38" t="n"/>
      <c r="AB101" s="38" t="n"/>
      <c r="AD101" s="38" t="n"/>
      <c r="AF101" s="38" t="n"/>
      <c r="AH101" s="38" t="n"/>
      <c r="AJ101" s="38" t="n"/>
      <c r="AL101" s="38" t="n"/>
      <c r="AN101" s="38" t="n"/>
      <c r="AP101" s="38" t="n"/>
      <c r="AR101" s="48" t="inlineStr">
        <is>
          <t>TPM</t>
        </is>
      </c>
      <c r="AS101" s="13" t="n"/>
      <c r="AT101" s="56" t="n"/>
      <c r="AV101" s="38" t="n"/>
      <c r="AX101" s="38" t="n"/>
      <c r="AZ101" s="38" t="n"/>
      <c r="BB101" s="38" t="n"/>
      <c r="BD101" s="38" t="n"/>
      <c r="BF101" s="38" t="n"/>
      <c r="BH101" s="38" t="n"/>
      <c r="BJ101" s="38" t="n"/>
      <c r="BL101" s="38" t="n"/>
      <c r="BN101" s="38" t="n"/>
      <c r="BP101" s="38" t="n"/>
      <c r="BR101" s="39" t="n"/>
      <c r="BT101" s="38" t="n"/>
      <c r="BV101" s="38" t="n"/>
      <c r="BX101" s="38" t="n"/>
      <c r="BZ101" s="38" t="n"/>
      <c r="CB101" s="38" t="n"/>
      <c r="CD101" s="38" t="n"/>
      <c r="CF101" s="38" t="n"/>
      <c r="CH101" s="38" t="n"/>
      <c r="CJ101" s="38" t="n"/>
    </row>
    <row r="102">
      <c r="A102" s="31" t="n"/>
      <c r="B102" s="31" t="n"/>
      <c r="C102" s="41">
        <f>HYPERLINK("https://app.asana.com/1/8556634603607/project/1215564565348002/task/1218156429240253","Asana task")</f>
        <v/>
      </c>
      <c r="D102" s="31" t="n"/>
      <c r="E102" s="31" t="n"/>
      <c r="F102" s="31" t="n"/>
      <c r="G102" s="31" t="n"/>
      <c r="H102" s="31" t="n"/>
      <c r="I102" s="31" t="n"/>
      <c r="J102" s="31" t="n"/>
      <c r="K102" s="31" t="n"/>
      <c r="L102" s="31" t="n"/>
      <c r="M102" s="31" t="n"/>
      <c r="N102" s="31" t="n"/>
      <c r="O102" s="31" t="n"/>
      <c r="P102" s="31" t="inlineStr">
        <is>
          <t>BE</t>
        </is>
      </c>
      <c r="Q102" s="31" t="n">
        <v>2</v>
      </c>
      <c r="R102" s="38" t="n"/>
      <c r="T102" s="38" t="n"/>
      <c r="V102" s="38" t="n"/>
      <c r="X102" s="38" t="n"/>
      <c r="Z102" s="38" t="n"/>
      <c r="AB102" s="38" t="n"/>
      <c r="AD102" s="38" t="n"/>
      <c r="AF102" s="38" t="n"/>
      <c r="AH102" s="38" t="n"/>
      <c r="AJ102" s="38" t="n"/>
      <c r="AL102" s="38" t="n"/>
      <c r="AN102" s="38" t="n"/>
      <c r="AP102" s="38" t="n"/>
      <c r="AR102" s="38" t="n"/>
      <c r="AT102" s="38" t="n"/>
      <c r="AV102" s="38" t="n"/>
      <c r="AX102" s="38" t="n"/>
      <c r="AZ102" s="42" t="inlineStr">
        <is>
          <t>BE</t>
        </is>
      </c>
      <c r="BA102" s="14" t="n"/>
      <c r="BB102" s="46" t="n"/>
      <c r="BC102" s="14" t="n"/>
      <c r="BD102" s="46" t="n"/>
      <c r="BE102" s="14" t="n"/>
      <c r="BF102" s="46" t="n"/>
      <c r="BG102" s="14" t="n"/>
      <c r="BH102" s="46" t="n"/>
      <c r="BJ102" s="38" t="n"/>
      <c r="BL102" s="38" t="n"/>
      <c r="BN102" s="38" t="n"/>
      <c r="BP102" s="38" t="n"/>
      <c r="BR102" s="39" t="n"/>
      <c r="BT102" s="38" t="n"/>
      <c r="BV102" s="38" t="n"/>
      <c r="BX102" s="38" t="n"/>
      <c r="BZ102" s="38" t="n"/>
      <c r="CB102" s="38" t="n"/>
      <c r="CD102" s="38" t="n"/>
      <c r="CF102" s="38" t="n"/>
      <c r="CH102" s="38" t="n"/>
      <c r="CJ102" s="38" t="n"/>
    </row>
    <row r="103">
      <c r="A103" s="31" t="n"/>
      <c r="B103" s="31" t="n"/>
      <c r="C103" s="31" t="n"/>
      <c r="D103" s="31" t="n"/>
      <c r="E103" s="31" t="n"/>
      <c r="F103" s="31" t="n"/>
      <c r="G103" s="31" t="n"/>
      <c r="H103" s="31" t="n"/>
      <c r="I103" s="31" t="n"/>
      <c r="J103" s="31" t="n"/>
      <c r="K103" s="31" t="n"/>
      <c r="L103" s="31" t="n"/>
      <c r="M103" s="31" t="n"/>
      <c r="N103" s="31" t="n"/>
      <c r="O103" s="31" t="n"/>
      <c r="P103" s="31" t="inlineStr">
        <is>
          <t>App</t>
        </is>
      </c>
      <c r="Q103" s="31" t="n">
        <v>2</v>
      </c>
      <c r="R103" s="38" t="n"/>
      <c r="T103" s="38" t="n"/>
      <c r="V103" s="38" t="n"/>
      <c r="X103" s="38" t="n"/>
      <c r="Z103" s="38" t="n"/>
      <c r="AB103" s="38" t="n"/>
      <c r="AD103" s="38" t="n"/>
      <c r="AF103" s="38" t="n"/>
      <c r="AH103" s="38" t="n"/>
      <c r="AJ103" s="38" t="n"/>
      <c r="AL103" s="38" t="n"/>
      <c r="AN103" s="38" t="n"/>
      <c r="AP103" s="38" t="n"/>
      <c r="AR103" s="38" t="n"/>
      <c r="AT103" s="38" t="n"/>
      <c r="AV103" s="38" t="n"/>
      <c r="AX103" s="38" t="n"/>
      <c r="AZ103" s="38" t="n"/>
      <c r="BB103" s="38" t="n"/>
      <c r="BD103" s="38" t="n"/>
      <c r="BF103" s="38" t="n"/>
      <c r="BH103" s="38" t="n"/>
      <c r="BI103" s="32" t="inlineStr">
        <is>
          <t>App</t>
        </is>
      </c>
      <c r="BJ103" s="54" t="n"/>
      <c r="BK103" s="15" t="n"/>
      <c r="BL103" s="54" t="n"/>
      <c r="BN103" s="38" t="n"/>
      <c r="BP103" s="38" t="n"/>
      <c r="BR103" s="39" t="n"/>
      <c r="BT103" s="38" t="n"/>
      <c r="BV103" s="38" t="n"/>
      <c r="BX103" s="38" t="n"/>
      <c r="BZ103" s="38" t="n"/>
      <c r="CB103" s="38" t="n"/>
      <c r="CD103" s="38" t="n"/>
      <c r="CF103" s="38" t="n"/>
      <c r="CH103" s="38" t="n"/>
      <c r="CJ103" s="38" t="n"/>
    </row>
    <row r="104">
      <c r="A104" s="31" t="n"/>
      <c r="B104" s="31" t="n"/>
      <c r="C104" s="31" t="n"/>
      <c r="D104" s="31" t="n"/>
      <c r="E104" s="31" t="n"/>
      <c r="F104" s="31" t="n"/>
      <c r="G104" s="31" t="n"/>
      <c r="H104" s="31" t="n"/>
      <c r="I104" s="31" t="n"/>
      <c r="J104" s="31" t="n"/>
      <c r="K104" s="31" t="n"/>
      <c r="L104" s="31" t="n"/>
      <c r="M104" s="31" t="n"/>
      <c r="N104" s="31" t="n"/>
      <c r="O104" s="31" t="n"/>
      <c r="P104" s="31" t="inlineStr">
        <is>
          <t>QA</t>
        </is>
      </c>
      <c r="Q104" s="31" t="inlineStr"/>
      <c r="R104" s="38" t="n"/>
      <c r="T104" s="38" t="n"/>
      <c r="V104" s="38" t="n"/>
      <c r="X104" s="38" t="n"/>
      <c r="Z104" s="38" t="n"/>
      <c r="AB104" s="38" t="n"/>
      <c r="AD104" s="38" t="n"/>
      <c r="AF104" s="38" t="n"/>
      <c r="AH104" s="38" t="n"/>
      <c r="AJ104" s="38" t="n"/>
      <c r="AL104" s="38" t="n"/>
      <c r="AN104" s="38" t="n"/>
      <c r="AP104" s="38" t="n"/>
      <c r="AR104" s="38" t="n"/>
      <c r="AT104" s="38" t="n"/>
      <c r="AV104" s="38" t="n"/>
      <c r="AX104" s="38" t="n"/>
      <c r="AZ104" s="38" t="n"/>
      <c r="BB104" s="38" t="n"/>
      <c r="BD104" s="38" t="n"/>
      <c r="BF104" s="38" t="n"/>
      <c r="BH104" s="38" t="n"/>
      <c r="BJ104" s="38" t="n"/>
      <c r="BL104" s="38" t="n"/>
      <c r="BM104" s="33" t="inlineStr">
        <is>
          <t>QA</t>
        </is>
      </c>
      <c r="BN104" s="55" t="n"/>
      <c r="BO104" s="16" t="n"/>
      <c r="BP104" s="38" t="n"/>
      <c r="BR104" s="39" t="n"/>
      <c r="BT104" s="38" t="n"/>
      <c r="BV104" s="38" t="n"/>
      <c r="BX104" s="38" t="n"/>
      <c r="BZ104" s="38" t="n"/>
      <c r="CB104" s="38" t="n"/>
      <c r="CD104" s="38" t="n"/>
      <c r="CF104" s="38" t="n"/>
      <c r="CH104" s="38" t="n"/>
      <c r="CJ104" s="38" t="n"/>
    </row>
    <row r="105">
      <c r="A105" s="28" t="inlineStr">
        <is>
          <t>Board Goal</t>
        </is>
      </c>
      <c r="B105" s="28" t="inlineStr">
        <is>
          <t>All Products</t>
        </is>
      </c>
      <c r="C105" s="34" t="inlineStr">
        <is>
          <t>#14 Expand the BR app in ROW markets (Pinless, IMTU and eSIM)</t>
        </is>
      </c>
      <c r="D105" s="28" t="inlineStr">
        <is>
          <t>High</t>
        </is>
      </c>
      <c r="E105" s="28" t="inlineStr">
        <is>
          <t>Q3</t>
        </is>
      </c>
      <c r="F105" s="57" t="inlineStr">
        <is>
          <t>FY28 risk</t>
        </is>
      </c>
      <c r="G105" s="28" t="inlineStr">
        <is>
          <t>L</t>
        </is>
      </c>
      <c r="H105" s="28" t="inlineStr"/>
      <c r="I105" s="28" t="inlineStr"/>
      <c r="J105" s="28" t="inlineStr"/>
      <c r="K105" s="28" t="inlineStr"/>
      <c r="L105" s="28" t="inlineStr"/>
      <c r="M105" s="28" t="inlineStr"/>
      <c r="N105" s="28" t="inlineStr"/>
      <c r="O105" s="28" t="inlineStr"/>
      <c r="P105" s="28" t="inlineStr">
        <is>
          <t>PM</t>
        </is>
      </c>
      <c r="Q105" s="28" t="inlineStr"/>
      <c r="R105" s="35" t="n"/>
      <c r="T105" s="35" t="n"/>
      <c r="V105" s="35" t="n"/>
      <c r="X105" s="35" t="n"/>
      <c r="Z105" s="35" t="n"/>
      <c r="AB105" s="35" t="n"/>
      <c r="AD105" s="35" t="n"/>
      <c r="AF105" s="35" t="n"/>
      <c r="AH105" s="35" t="n"/>
      <c r="AJ105" s="44" t="inlineStr">
        <is>
          <t>PM</t>
        </is>
      </c>
      <c r="AK105" s="11" t="n"/>
      <c r="AL105" s="51" t="n"/>
      <c r="AM105" s="11" t="n"/>
      <c r="AN105" s="35" t="n"/>
      <c r="AP105" s="35" t="n"/>
      <c r="AR105" s="35" t="n"/>
      <c r="AT105" s="35" t="n"/>
      <c r="AV105" s="35" t="n"/>
      <c r="AX105" s="35" t="n"/>
      <c r="AZ105" s="35" t="n"/>
      <c r="BB105" s="35" t="n"/>
      <c r="BD105" s="35" t="n"/>
      <c r="BF105" s="35" t="n"/>
      <c r="BH105" s="35" t="n"/>
      <c r="BJ105" s="35" t="n"/>
      <c r="BL105" s="35" t="n"/>
      <c r="BN105" s="35" t="n"/>
      <c r="BP105" s="35" t="n"/>
      <c r="BR105" s="36" t="n"/>
      <c r="BT105" s="35" t="n"/>
      <c r="BV105" s="35" t="n"/>
      <c r="BX105" s="35" t="n"/>
      <c r="BZ105" s="35" t="n"/>
      <c r="CB105" s="35" t="n"/>
      <c r="CD105" s="35" t="n"/>
      <c r="CF105" s="35" t="n"/>
      <c r="CH105" s="35" t="n"/>
      <c r="CJ105" s="35" t="n"/>
    </row>
    <row r="106">
      <c r="A106" s="31" t="n"/>
      <c r="B106" s="31" t="n"/>
      <c r="C106" s="37" t="inlineStr">
        <is>
          <t>4 Jan 2027 to 12 Sep 2027</t>
        </is>
      </c>
      <c r="D106" s="31" t="n"/>
      <c r="E106" s="31" t="n"/>
      <c r="F106" s="31" t="n"/>
      <c r="G106" s="31" t="n"/>
      <c r="H106" s="31" t="n"/>
      <c r="I106" s="31" t="n"/>
      <c r="J106" s="31" t="n"/>
      <c r="K106" s="31" t="n"/>
      <c r="L106" s="31" t="n"/>
      <c r="M106" s="31" t="n"/>
      <c r="N106" s="31" t="n"/>
      <c r="O106" s="31" t="n"/>
      <c r="P106" s="31" t="inlineStr">
        <is>
          <t>Dsgn</t>
        </is>
      </c>
      <c r="Q106" s="31" t="inlineStr"/>
      <c r="R106" s="38" t="n"/>
      <c r="T106" s="38" t="n"/>
      <c r="V106" s="38" t="n"/>
      <c r="X106" s="38" t="n"/>
      <c r="Z106" s="38" t="n"/>
      <c r="AB106" s="38" t="n"/>
      <c r="AD106" s="38" t="n"/>
      <c r="AF106" s="38" t="n"/>
      <c r="AH106" s="38" t="n"/>
      <c r="AJ106" s="38" t="n"/>
      <c r="AL106" s="38" t="n"/>
      <c r="AN106" s="47" t="inlineStr">
        <is>
          <t>Dsgn</t>
        </is>
      </c>
      <c r="AO106" s="12" t="n"/>
      <c r="AP106" s="53" t="n"/>
      <c r="AR106" s="38" t="n"/>
      <c r="AT106" s="38" t="n"/>
      <c r="AV106" s="38" t="n"/>
      <c r="AX106" s="38" t="n"/>
      <c r="AZ106" s="38" t="n"/>
      <c r="BB106" s="38" t="n"/>
      <c r="BD106" s="38" t="n"/>
      <c r="BF106" s="38" t="n"/>
      <c r="BH106" s="38" t="n"/>
      <c r="BJ106" s="38" t="n"/>
      <c r="BL106" s="38" t="n"/>
      <c r="BN106" s="38" t="n"/>
      <c r="BP106" s="38" t="n"/>
      <c r="BR106" s="39" t="n"/>
      <c r="BT106" s="38" t="n"/>
      <c r="BV106" s="38" t="n"/>
      <c r="BX106" s="38" t="n"/>
      <c r="BZ106" s="38" t="n"/>
      <c r="CB106" s="38" t="n"/>
      <c r="CD106" s="38" t="n"/>
      <c r="CF106" s="38" t="n"/>
      <c r="CH106" s="38" t="n"/>
      <c r="CJ106" s="38" t="n"/>
    </row>
    <row r="107">
      <c r="A107" s="31" t="n"/>
      <c r="B107" s="31" t="n"/>
      <c r="C107" s="40" t="inlineStr">
        <is>
          <t>BE L (4 FTE spr) · App L (4 FTE spr) · Design M</t>
        </is>
      </c>
      <c r="D107" s="31" t="n"/>
      <c r="E107" s="31" t="n"/>
      <c r="F107" s="31" t="n"/>
      <c r="G107" s="31" t="n"/>
      <c r="H107" s="31" t="n"/>
      <c r="I107" s="31" t="n"/>
      <c r="J107" s="31" t="n"/>
      <c r="K107" s="31" t="n"/>
      <c r="L107" s="31" t="n"/>
      <c r="M107" s="31" t="n"/>
      <c r="N107" s="31" t="n"/>
      <c r="O107" s="31" t="n"/>
      <c r="P107" s="31" t="inlineStr">
        <is>
          <t>TPM</t>
        </is>
      </c>
      <c r="Q107" s="31" t="inlineStr"/>
      <c r="R107" s="38" t="n"/>
      <c r="T107" s="38" t="n"/>
      <c r="V107" s="38" t="n"/>
      <c r="X107" s="38" t="n"/>
      <c r="Z107" s="38" t="n"/>
      <c r="AB107" s="38" t="n"/>
      <c r="AD107" s="38" t="n"/>
      <c r="AF107" s="38" t="n"/>
      <c r="AH107" s="38" t="n"/>
      <c r="AJ107" s="38" t="n"/>
      <c r="AL107" s="38" t="n"/>
      <c r="AN107" s="38" t="n"/>
      <c r="AP107" s="38" t="n"/>
      <c r="AQ107" s="45" t="inlineStr">
        <is>
          <t>TPM</t>
        </is>
      </c>
      <c r="AR107" s="56" t="n"/>
      <c r="AT107" s="38" t="n"/>
      <c r="AV107" s="38" t="n"/>
      <c r="AX107" s="38" t="n"/>
      <c r="AZ107" s="38" t="n"/>
      <c r="BB107" s="38" t="n"/>
      <c r="BD107" s="38" t="n"/>
      <c r="BF107" s="38" t="n"/>
      <c r="BH107" s="38" t="n"/>
      <c r="BJ107" s="38" t="n"/>
      <c r="BL107" s="38" t="n"/>
      <c r="BN107" s="38" t="n"/>
      <c r="BP107" s="38" t="n"/>
      <c r="BR107" s="39" t="n"/>
      <c r="BT107" s="38" t="n"/>
      <c r="BV107" s="38" t="n"/>
      <c r="BX107" s="38" t="n"/>
      <c r="BZ107" s="38" t="n"/>
      <c r="CB107" s="38" t="n"/>
      <c r="CD107" s="38" t="n"/>
      <c r="CF107" s="38" t="n"/>
      <c r="CH107" s="38" t="n"/>
      <c r="CJ107" s="38" t="n"/>
    </row>
    <row r="108">
      <c r="A108" s="31" t="n"/>
      <c r="B108" s="31" t="n"/>
      <c r="C108" s="41">
        <f>HYPERLINK("https://app.asana.com/1/8556634603607/project/1215564565348002/task/1218156429240264","Asana task")</f>
        <v/>
      </c>
      <c r="D108" s="31" t="n"/>
      <c r="E108" s="31" t="n"/>
      <c r="F108" s="31" t="n"/>
      <c r="G108" s="31" t="n"/>
      <c r="H108" s="31" t="n"/>
      <c r="I108" s="31" t="n"/>
      <c r="J108" s="31" t="n"/>
      <c r="K108" s="31" t="n"/>
      <c r="L108" s="31" t="n"/>
      <c r="M108" s="31" t="n"/>
      <c r="N108" s="31" t="n"/>
      <c r="O108" s="31" t="n"/>
      <c r="P108" s="31" t="inlineStr">
        <is>
          <t>BE</t>
        </is>
      </c>
      <c r="Q108" s="31" t="n">
        <v>2</v>
      </c>
      <c r="R108" s="38" t="n"/>
      <c r="T108" s="38" t="n"/>
      <c r="V108" s="38" t="n"/>
      <c r="X108" s="38" t="n"/>
      <c r="Z108" s="38" t="n"/>
      <c r="AB108" s="38" t="n"/>
      <c r="AD108" s="38" t="n"/>
      <c r="AF108" s="38" t="n"/>
      <c r="AH108" s="38" t="n"/>
      <c r="AJ108" s="38" t="n"/>
      <c r="AL108" s="38" t="n"/>
      <c r="AN108" s="38" t="n"/>
      <c r="AP108" s="38" t="n"/>
      <c r="AR108" s="38" t="n"/>
      <c r="AT108" s="38" t="n"/>
      <c r="AV108" s="38" t="n"/>
      <c r="AX108" s="38" t="n"/>
      <c r="AZ108" s="38" t="n"/>
      <c r="BB108" s="38" t="n"/>
      <c r="BD108" s="38" t="n"/>
      <c r="BF108" s="38" t="n"/>
      <c r="BH108" s="38" t="n"/>
      <c r="BI108" s="30" t="inlineStr">
        <is>
          <t>BE</t>
        </is>
      </c>
      <c r="BJ108" s="46" t="n"/>
      <c r="BK108" s="14" t="n"/>
      <c r="BL108" s="46" t="n"/>
      <c r="BN108" s="38" t="n"/>
      <c r="BP108" s="38" t="n"/>
      <c r="BR108" s="39" t="n"/>
      <c r="BT108" s="38" t="n"/>
      <c r="BV108" s="38" t="n"/>
      <c r="BX108" s="38" t="n"/>
      <c r="BZ108" s="38" t="n"/>
      <c r="CB108" s="38" t="n"/>
      <c r="CD108" s="38" t="n"/>
      <c r="CF108" s="38" t="n"/>
      <c r="CH108" s="38" t="n"/>
      <c r="CJ108" s="38" t="n"/>
    </row>
    <row r="109">
      <c r="A109" s="31" t="n"/>
      <c r="B109" s="31" t="n"/>
      <c r="C109" s="31" t="n"/>
      <c r="D109" s="31" t="n"/>
      <c r="E109" s="31" t="n"/>
      <c r="F109" s="31" t="n"/>
      <c r="G109" s="31" t="n"/>
      <c r="H109" s="31" t="n"/>
      <c r="I109" s="31" t="n"/>
      <c r="J109" s="31" t="n"/>
      <c r="K109" s="31" t="n"/>
      <c r="L109" s="31" t="n"/>
      <c r="M109" s="31" t="n"/>
      <c r="N109" s="31" t="n"/>
      <c r="O109" s="31" t="n"/>
      <c r="P109" s="31" t="inlineStr">
        <is>
          <t>App</t>
        </is>
      </c>
      <c r="Q109" s="31" t="n">
        <v>2</v>
      </c>
      <c r="R109" s="38" t="n"/>
      <c r="T109" s="38" t="n"/>
      <c r="V109" s="38" t="n"/>
      <c r="X109" s="38" t="n"/>
      <c r="Z109" s="38" t="n"/>
      <c r="AB109" s="38" t="n"/>
      <c r="AD109" s="38" t="n"/>
      <c r="AF109" s="38" t="n"/>
      <c r="AH109" s="38" t="n"/>
      <c r="AJ109" s="38" t="n"/>
      <c r="AL109" s="38" t="n"/>
      <c r="AN109" s="38" t="n"/>
      <c r="AP109" s="38" t="n"/>
      <c r="AR109" s="38" t="n"/>
      <c r="AT109" s="38" t="n"/>
      <c r="AV109" s="38" t="n"/>
      <c r="AX109" s="38" t="n"/>
      <c r="AZ109" s="38" t="n"/>
      <c r="BB109" s="38" t="n"/>
      <c r="BD109" s="38" t="n"/>
      <c r="BF109" s="38" t="n"/>
      <c r="BH109" s="38" t="n"/>
      <c r="BJ109" s="38" t="n"/>
      <c r="BL109" s="38" t="n"/>
      <c r="BM109" s="32" t="inlineStr">
        <is>
          <t>App</t>
        </is>
      </c>
      <c r="BN109" s="54" t="n"/>
      <c r="BO109" s="15" t="n"/>
      <c r="BP109" s="54" t="n"/>
      <c r="BR109" s="39" t="n"/>
      <c r="BT109" s="38" t="n"/>
      <c r="BV109" s="38" t="n"/>
      <c r="BX109" s="38" t="n"/>
      <c r="BZ109" s="38" t="n"/>
      <c r="CB109" s="38" t="n"/>
      <c r="CD109" s="38" t="n"/>
      <c r="CF109" s="38" t="n"/>
      <c r="CH109" s="38" t="n"/>
      <c r="CJ109" s="38" t="n"/>
    </row>
    <row r="110">
      <c r="A110" s="31" t="n"/>
      <c r="B110" s="31" t="n"/>
      <c r="C110" s="31" t="n"/>
      <c r="D110" s="31" t="n"/>
      <c r="E110" s="31" t="n"/>
      <c r="F110" s="31" t="n"/>
      <c r="G110" s="31" t="n"/>
      <c r="H110" s="31" t="n"/>
      <c r="I110" s="31" t="n"/>
      <c r="J110" s="31" t="n"/>
      <c r="K110" s="31" t="n"/>
      <c r="L110" s="31" t="n"/>
      <c r="M110" s="31" t="n"/>
      <c r="N110" s="31" t="n"/>
      <c r="O110" s="31" t="n"/>
      <c r="P110" s="31" t="inlineStr">
        <is>
          <t>QA</t>
        </is>
      </c>
      <c r="Q110" s="31" t="inlineStr"/>
      <c r="R110" s="38" t="n"/>
      <c r="T110" s="38" t="n"/>
      <c r="V110" s="38" t="n"/>
      <c r="X110" s="38" t="n"/>
      <c r="Z110" s="38" t="n"/>
      <c r="AB110" s="38" t="n"/>
      <c r="AD110" s="38" t="n"/>
      <c r="AF110" s="38" t="n"/>
      <c r="AH110" s="38" t="n"/>
      <c r="AJ110" s="38" t="n"/>
      <c r="AL110" s="38" t="n"/>
      <c r="AN110" s="38" t="n"/>
      <c r="AP110" s="38" t="n"/>
      <c r="AR110" s="38" t="n"/>
      <c r="AT110" s="38" t="n"/>
      <c r="AV110" s="38" t="n"/>
      <c r="AX110" s="38" t="n"/>
      <c r="AZ110" s="38" t="n"/>
      <c r="BB110" s="38" t="n"/>
      <c r="BD110" s="38" t="n"/>
      <c r="BF110" s="38" t="n"/>
      <c r="BH110" s="38" t="n"/>
      <c r="BJ110" s="38" t="n"/>
      <c r="BL110" s="38" t="n"/>
      <c r="BN110" s="38" t="n"/>
      <c r="BP110" s="38" t="n"/>
      <c r="BQ110" s="33" t="inlineStr">
        <is>
          <t>QA</t>
        </is>
      </c>
      <c r="BR110" s="58" t="n"/>
      <c r="BS110" s="16" t="n"/>
      <c r="BT110" s="38" t="n"/>
      <c r="BV110" s="38" t="n"/>
      <c r="BX110" s="38" t="n"/>
      <c r="BZ110" s="38" t="n"/>
      <c r="CB110" s="38" t="n"/>
      <c r="CD110" s="38" t="n"/>
      <c r="CF110" s="38" t="n"/>
      <c r="CH110" s="38" t="n"/>
      <c r="CJ110" s="38" t="n"/>
    </row>
    <row r="111">
      <c r="A111" s="28" t="inlineStr">
        <is>
          <t>Board Goal</t>
        </is>
      </c>
      <c r="B111" s="28" t="inlineStr">
        <is>
          <t>All Products</t>
        </is>
      </c>
      <c r="C111" s="34" t="inlineStr">
        <is>
          <t>#15 Support the RAF program with a fully trackable journey</t>
        </is>
      </c>
      <c r="D111" s="28" t="inlineStr">
        <is>
          <t>Medium</t>
        </is>
      </c>
      <c r="E111" s="28" t="inlineStr">
        <is>
          <t>Q3</t>
        </is>
      </c>
      <c r="F111" s="57" t="inlineStr">
        <is>
          <t>FY28 risk</t>
        </is>
      </c>
      <c r="G111" s="28" t="inlineStr">
        <is>
          <t>M</t>
        </is>
      </c>
      <c r="H111" s="28" t="inlineStr"/>
      <c r="I111" s="28" t="inlineStr"/>
      <c r="J111" s="28" t="inlineStr"/>
      <c r="K111" s="28" t="inlineStr"/>
      <c r="L111" s="28" t="inlineStr"/>
      <c r="M111" s="28" t="inlineStr"/>
      <c r="N111" s="28" t="inlineStr"/>
      <c r="O111" s="28" t="inlineStr"/>
      <c r="P111" s="28" t="inlineStr">
        <is>
          <t>PM</t>
        </is>
      </c>
      <c r="Q111" s="28" t="inlineStr"/>
      <c r="R111" s="35" t="n"/>
      <c r="T111" s="35" t="n"/>
      <c r="V111" s="35" t="n"/>
      <c r="X111" s="35" t="n"/>
      <c r="Z111" s="35" t="n"/>
      <c r="AB111" s="35" t="n"/>
      <c r="AD111" s="35" t="n"/>
      <c r="AF111" s="35" t="n"/>
      <c r="AH111" s="35" t="n"/>
      <c r="AJ111" s="35" t="n"/>
      <c r="AL111" s="35" t="n"/>
      <c r="AN111" s="44" t="inlineStr">
        <is>
          <t>PM</t>
        </is>
      </c>
      <c r="AO111" s="11" t="n"/>
      <c r="AP111" s="35" t="n"/>
      <c r="AR111" s="35" t="n"/>
      <c r="AT111" s="35" t="n"/>
      <c r="AV111" s="35" t="n"/>
      <c r="AX111" s="35" t="n"/>
      <c r="AZ111" s="35" t="n"/>
      <c r="BB111" s="35" t="n"/>
      <c r="BD111" s="35" t="n"/>
      <c r="BF111" s="35" t="n"/>
      <c r="BH111" s="35" t="n"/>
      <c r="BJ111" s="35" t="n"/>
      <c r="BL111" s="35" t="n"/>
      <c r="BN111" s="35" t="n"/>
      <c r="BP111" s="35" t="n"/>
      <c r="BR111" s="36" t="n"/>
      <c r="BT111" s="35" t="n"/>
      <c r="BV111" s="35" t="n"/>
      <c r="BX111" s="35" t="n"/>
      <c r="BZ111" s="35" t="n"/>
      <c r="CB111" s="35" t="n"/>
      <c r="CD111" s="35" t="n"/>
      <c r="CF111" s="35" t="n"/>
      <c r="CH111" s="35" t="n"/>
      <c r="CJ111" s="35" t="n"/>
    </row>
    <row r="112">
      <c r="A112" s="31" t="n"/>
      <c r="B112" s="31" t="n"/>
      <c r="C112" s="37" t="inlineStr">
        <is>
          <t>1 Feb 2027 to 3 Oct 2027</t>
        </is>
      </c>
      <c r="D112" s="31" t="n"/>
      <c r="E112" s="31" t="n"/>
      <c r="F112" s="31" t="n"/>
      <c r="G112" s="31" t="n"/>
      <c r="H112" s="31" t="n"/>
      <c r="I112" s="31" t="n"/>
      <c r="J112" s="31" t="n"/>
      <c r="K112" s="31" t="n"/>
      <c r="L112" s="31" t="n"/>
      <c r="M112" s="31" t="n"/>
      <c r="N112" s="31" t="n"/>
      <c r="O112" s="31" t="n"/>
      <c r="P112" s="31" t="inlineStr">
        <is>
          <t>Dsgn</t>
        </is>
      </c>
      <c r="Q112" s="31" t="inlineStr"/>
      <c r="R112" s="38" t="n"/>
      <c r="T112" s="38" t="n"/>
      <c r="V112" s="38" t="n"/>
      <c r="X112" s="38" t="n"/>
      <c r="Z112" s="38" t="n"/>
      <c r="AB112" s="38" t="n"/>
      <c r="AD112" s="38" t="n"/>
      <c r="AF112" s="38" t="n"/>
      <c r="AH112" s="38" t="n"/>
      <c r="AJ112" s="38" t="n"/>
      <c r="AL112" s="38" t="n"/>
      <c r="AN112" s="38" t="n"/>
      <c r="AP112" s="38" t="n"/>
      <c r="AQ112" s="52" t="inlineStr">
        <is>
          <t>Dsgn</t>
        </is>
      </c>
      <c r="AR112" s="53" t="n"/>
      <c r="AT112" s="38" t="n"/>
      <c r="AV112" s="38" t="n"/>
      <c r="AX112" s="38" t="n"/>
      <c r="AZ112" s="38" t="n"/>
      <c r="BB112" s="38" t="n"/>
      <c r="BD112" s="38" t="n"/>
      <c r="BF112" s="38" t="n"/>
      <c r="BH112" s="38" t="n"/>
      <c r="BJ112" s="38" t="n"/>
      <c r="BL112" s="38" t="n"/>
      <c r="BN112" s="38" t="n"/>
      <c r="BP112" s="38" t="n"/>
      <c r="BR112" s="39" t="n"/>
      <c r="BT112" s="38" t="n"/>
      <c r="BV112" s="38" t="n"/>
      <c r="BX112" s="38" t="n"/>
      <c r="BZ112" s="38" t="n"/>
      <c r="CB112" s="38" t="n"/>
      <c r="CD112" s="38" t="n"/>
      <c r="CF112" s="38" t="n"/>
      <c r="CH112" s="38" t="n"/>
      <c r="CJ112" s="38" t="n"/>
    </row>
    <row r="113">
      <c r="A113" s="31" t="n"/>
      <c r="B113" s="31" t="n"/>
      <c r="C113" s="40" t="inlineStr">
        <is>
          <t>BE M (2 FTE spr) · App M (2 FTE spr) · Design S</t>
        </is>
      </c>
      <c r="D113" s="31" t="n"/>
      <c r="E113" s="31" t="n"/>
      <c r="F113" s="31" t="n"/>
      <c r="G113" s="31" t="n"/>
      <c r="H113" s="31" t="n"/>
      <c r="I113" s="31" t="n"/>
      <c r="J113" s="31" t="n"/>
      <c r="K113" s="31" t="n"/>
      <c r="L113" s="31" t="n"/>
      <c r="M113" s="31" t="n"/>
      <c r="N113" s="31" t="n"/>
      <c r="O113" s="31" t="n"/>
      <c r="P113" s="31" t="inlineStr">
        <is>
          <t>TPM</t>
        </is>
      </c>
      <c r="Q113" s="31" t="inlineStr"/>
      <c r="R113" s="38" t="n"/>
      <c r="T113" s="38" t="n"/>
      <c r="V113" s="38" t="n"/>
      <c r="X113" s="38" t="n"/>
      <c r="Z113" s="38" t="n"/>
      <c r="AB113" s="38" t="n"/>
      <c r="AD113" s="38" t="n"/>
      <c r="AF113" s="38" t="n"/>
      <c r="AH113" s="38" t="n"/>
      <c r="AJ113" s="38" t="n"/>
      <c r="AL113" s="38" t="n"/>
      <c r="AN113" s="38" t="n"/>
      <c r="AP113" s="38" t="n"/>
      <c r="AR113" s="38" t="n"/>
      <c r="AS113" s="45" t="inlineStr">
        <is>
          <t>TPM</t>
        </is>
      </c>
      <c r="AT113" s="56" t="n"/>
      <c r="AV113" s="38" t="n"/>
      <c r="AX113" s="38" t="n"/>
      <c r="AZ113" s="38" t="n"/>
      <c r="BB113" s="38" t="n"/>
      <c r="BD113" s="38" t="n"/>
      <c r="BF113" s="38" t="n"/>
      <c r="BH113" s="38" t="n"/>
      <c r="BJ113" s="38" t="n"/>
      <c r="BL113" s="38" t="n"/>
      <c r="BN113" s="38" t="n"/>
      <c r="BP113" s="38" t="n"/>
      <c r="BR113" s="39" t="n"/>
      <c r="BT113" s="38" t="n"/>
      <c r="BV113" s="38" t="n"/>
      <c r="BX113" s="38" t="n"/>
      <c r="BZ113" s="38" t="n"/>
      <c r="CB113" s="38" t="n"/>
      <c r="CD113" s="38" t="n"/>
      <c r="CF113" s="38" t="n"/>
      <c r="CH113" s="38" t="n"/>
      <c r="CJ113" s="38" t="n"/>
    </row>
    <row r="114">
      <c r="A114" s="31" t="n"/>
      <c r="B114" s="31" t="n"/>
      <c r="C114" s="41">
        <f>HYPERLINK("https://app.asana.com/1/8556634603607/project/1215564565348002/task/1218156429240273","Asana task")</f>
        <v/>
      </c>
      <c r="D114" s="31" t="n"/>
      <c r="E114" s="31" t="n"/>
      <c r="F114" s="31" t="n"/>
      <c r="G114" s="31" t="n"/>
      <c r="H114" s="31" t="n"/>
      <c r="I114" s="31" t="n"/>
      <c r="J114" s="31" t="n"/>
      <c r="K114" s="31" t="n"/>
      <c r="L114" s="31" t="n"/>
      <c r="M114" s="31" t="n"/>
      <c r="N114" s="31" t="n"/>
      <c r="O114" s="31" t="n"/>
      <c r="P114" s="31" t="inlineStr">
        <is>
          <t>BE</t>
        </is>
      </c>
      <c r="Q114" s="31" t="n">
        <v>1</v>
      </c>
      <c r="R114" s="38" t="n"/>
      <c r="T114" s="38" t="n"/>
      <c r="V114" s="38" t="n"/>
      <c r="X114" s="38" t="n"/>
      <c r="Z114" s="38" t="n"/>
      <c r="AB114" s="38" t="n"/>
      <c r="AD114" s="38" t="n"/>
      <c r="AF114" s="38" t="n"/>
      <c r="AH114" s="38" t="n"/>
      <c r="AJ114" s="38" t="n"/>
      <c r="AL114" s="38" t="n"/>
      <c r="AN114" s="38" t="n"/>
      <c r="AP114" s="38" t="n"/>
      <c r="AR114" s="38" t="n"/>
      <c r="AT114" s="38" t="n"/>
      <c r="AV114" s="38" t="n"/>
      <c r="AX114" s="38" t="n"/>
      <c r="AZ114" s="38" t="n"/>
      <c r="BB114" s="38" t="n"/>
      <c r="BD114" s="38" t="n"/>
      <c r="BF114" s="38" t="n"/>
      <c r="BH114" s="38" t="n"/>
      <c r="BJ114" s="38" t="n"/>
      <c r="BL114" s="38" t="n"/>
      <c r="BM114" s="30" t="inlineStr">
        <is>
          <t>BE</t>
        </is>
      </c>
      <c r="BN114" s="46" t="n"/>
      <c r="BO114" s="14" t="n"/>
      <c r="BP114" s="46" t="n"/>
      <c r="BR114" s="39" t="n"/>
      <c r="BT114" s="38" t="n"/>
      <c r="BV114" s="38" t="n"/>
      <c r="BX114" s="38" t="n"/>
      <c r="BZ114" s="38" t="n"/>
      <c r="CB114" s="38" t="n"/>
      <c r="CD114" s="38" t="n"/>
      <c r="CF114" s="38" t="n"/>
      <c r="CH114" s="38" t="n"/>
      <c r="CJ114" s="38" t="n"/>
    </row>
    <row r="115">
      <c r="A115" s="31" t="n"/>
      <c r="B115" s="31" t="n"/>
      <c r="C115" s="31" t="n"/>
      <c r="D115" s="31" t="n"/>
      <c r="E115" s="31" t="n"/>
      <c r="F115" s="31" t="n"/>
      <c r="G115" s="31" t="n"/>
      <c r="H115" s="31" t="n"/>
      <c r="I115" s="31" t="n"/>
      <c r="J115" s="31" t="n"/>
      <c r="K115" s="31" t="n"/>
      <c r="L115" s="31" t="n"/>
      <c r="M115" s="31" t="n"/>
      <c r="N115" s="31" t="n"/>
      <c r="O115" s="31" t="n"/>
      <c r="P115" s="31" t="inlineStr">
        <is>
          <t>App</t>
        </is>
      </c>
      <c r="Q115" s="31" t="n">
        <v>1</v>
      </c>
      <c r="R115" s="38" t="n"/>
      <c r="T115" s="38" t="n"/>
      <c r="V115" s="38" t="n"/>
      <c r="X115" s="38" t="n"/>
      <c r="Z115" s="38" t="n"/>
      <c r="AB115" s="38" t="n"/>
      <c r="AD115" s="38" t="n"/>
      <c r="AF115" s="38" t="n"/>
      <c r="AH115" s="38" t="n"/>
      <c r="AJ115" s="38" t="n"/>
      <c r="AL115" s="38" t="n"/>
      <c r="AN115" s="38" t="n"/>
      <c r="AP115" s="38" t="n"/>
      <c r="AR115" s="38" t="n"/>
      <c r="AT115" s="38" t="n"/>
      <c r="AV115" s="38" t="n"/>
      <c r="AX115" s="38" t="n"/>
      <c r="AZ115" s="38" t="n"/>
      <c r="BB115" s="38" t="n"/>
      <c r="BD115" s="38" t="n"/>
      <c r="BF115" s="38" t="n"/>
      <c r="BH115" s="38" t="n"/>
      <c r="BJ115" s="38" t="n"/>
      <c r="BL115" s="38" t="n"/>
      <c r="BN115" s="38" t="n"/>
      <c r="BP115" s="38" t="n"/>
      <c r="BQ115" s="32" t="inlineStr">
        <is>
          <t>App</t>
        </is>
      </c>
      <c r="BR115" s="59" t="n"/>
      <c r="BS115" s="15" t="n"/>
      <c r="BT115" s="54" t="n"/>
      <c r="BV115" s="38" t="n"/>
      <c r="BX115" s="38" t="n"/>
      <c r="BZ115" s="38" t="n"/>
      <c r="CB115" s="38" t="n"/>
      <c r="CD115" s="38" t="n"/>
      <c r="CF115" s="38" t="n"/>
      <c r="CH115" s="38" t="n"/>
      <c r="CJ115" s="38" t="n"/>
    </row>
    <row r="116">
      <c r="A116" s="31" t="n"/>
      <c r="B116" s="31" t="n"/>
      <c r="C116" s="31" t="n"/>
      <c r="D116" s="31" t="n"/>
      <c r="E116" s="31" t="n"/>
      <c r="F116" s="31" t="n"/>
      <c r="G116" s="31" t="n"/>
      <c r="H116" s="31" t="n"/>
      <c r="I116" s="31" t="n"/>
      <c r="J116" s="31" t="n"/>
      <c r="K116" s="31" t="n"/>
      <c r="L116" s="31" t="n"/>
      <c r="M116" s="31" t="n"/>
      <c r="N116" s="31" t="n"/>
      <c r="O116" s="31" t="n"/>
      <c r="P116" s="31" t="inlineStr">
        <is>
          <t>QA</t>
        </is>
      </c>
      <c r="Q116" s="31" t="inlineStr"/>
      <c r="R116" s="38" t="n"/>
      <c r="T116" s="38" t="n"/>
      <c r="V116" s="38" t="n"/>
      <c r="X116" s="38" t="n"/>
      <c r="Z116" s="38" t="n"/>
      <c r="AB116" s="38" t="n"/>
      <c r="AD116" s="38" t="n"/>
      <c r="AF116" s="38" t="n"/>
      <c r="AH116" s="38" t="n"/>
      <c r="AJ116" s="38" t="n"/>
      <c r="AL116" s="38" t="n"/>
      <c r="AN116" s="38" t="n"/>
      <c r="AP116" s="38" t="n"/>
      <c r="AR116" s="38" t="n"/>
      <c r="AT116" s="38" t="n"/>
      <c r="AV116" s="38" t="n"/>
      <c r="AX116" s="38" t="n"/>
      <c r="AZ116" s="38" t="n"/>
      <c r="BB116" s="38" t="n"/>
      <c r="BD116" s="38" t="n"/>
      <c r="BF116" s="38" t="n"/>
      <c r="BH116" s="38" t="n"/>
      <c r="BJ116" s="38" t="n"/>
      <c r="BL116" s="38" t="n"/>
      <c r="BN116" s="38" t="n"/>
      <c r="BP116" s="38" t="n"/>
      <c r="BR116" s="39" t="n"/>
      <c r="BT116" s="38" t="n"/>
      <c r="BU116" s="33" t="inlineStr">
        <is>
          <t>QA</t>
        </is>
      </c>
      <c r="BV116" s="55" t="n"/>
      <c r="BX116" s="38" t="n"/>
      <c r="BZ116" s="38" t="n"/>
      <c r="CB116" s="38" t="n"/>
      <c r="CD116" s="38" t="n"/>
      <c r="CF116" s="38" t="n"/>
      <c r="CH116" s="38" t="n"/>
      <c r="CJ116" s="38" t="n"/>
    </row>
    <row r="117">
      <c r="A117" s="28" t="inlineStr">
        <is>
          <t>Business Goal</t>
        </is>
      </c>
      <c r="B117" s="28" t="inlineStr">
        <is>
          <t>MTU</t>
        </is>
      </c>
      <c r="C117" s="34" t="inlineStr">
        <is>
          <t>#16 Request Top-Up (SMS based)</t>
        </is>
      </c>
      <c r="D117" s="28" t="inlineStr">
        <is>
          <t>Medium</t>
        </is>
      </c>
      <c r="E117" s="28" t="inlineStr">
        <is>
          <t>Q3</t>
        </is>
      </c>
      <c r="F117" s="57" t="inlineStr">
        <is>
          <t>FY28 risk</t>
        </is>
      </c>
      <c r="G117" s="28" t="inlineStr">
        <is>
          <t>M</t>
        </is>
      </c>
      <c r="H117" s="28" t="inlineStr"/>
      <c r="I117" s="28" t="inlineStr"/>
      <c r="J117" s="28" t="inlineStr"/>
      <c r="K117" s="28" t="inlineStr"/>
      <c r="L117" s="28" t="inlineStr"/>
      <c r="M117" s="28" t="inlineStr"/>
      <c r="N117" s="28" t="inlineStr"/>
      <c r="O117" s="28" t="inlineStr"/>
      <c r="P117" s="28" t="inlineStr">
        <is>
          <t>PM</t>
        </is>
      </c>
      <c r="Q117" s="28" t="inlineStr"/>
      <c r="R117" s="35" t="n"/>
      <c r="T117" s="35" t="n"/>
      <c r="V117" s="35" t="n"/>
      <c r="X117" s="35" t="n"/>
      <c r="Z117" s="35" t="n"/>
      <c r="AB117" s="35" t="n"/>
      <c r="AD117" s="35" t="n"/>
      <c r="AF117" s="35" t="n"/>
      <c r="AH117" s="35" t="n"/>
      <c r="AJ117" s="35" t="n"/>
      <c r="AL117" s="35" t="n"/>
      <c r="AN117" s="44" t="inlineStr">
        <is>
          <t>PM</t>
        </is>
      </c>
      <c r="AO117" s="11" t="n"/>
      <c r="AP117" s="35" t="n"/>
      <c r="AR117" s="35" t="n"/>
      <c r="AT117" s="35" t="n"/>
      <c r="AV117" s="35" t="n"/>
      <c r="AX117" s="35" t="n"/>
      <c r="AZ117" s="35" t="n"/>
      <c r="BB117" s="35" t="n"/>
      <c r="BD117" s="35" t="n"/>
      <c r="BF117" s="35" t="n"/>
      <c r="BH117" s="35" t="n"/>
      <c r="BJ117" s="35" t="n"/>
      <c r="BL117" s="35" t="n"/>
      <c r="BN117" s="35" t="n"/>
      <c r="BP117" s="35" t="n"/>
      <c r="BR117" s="36" t="n"/>
      <c r="BT117" s="35" t="n"/>
      <c r="BV117" s="35" t="n"/>
      <c r="BX117" s="35" t="n"/>
      <c r="BZ117" s="35" t="n"/>
      <c r="CB117" s="35" t="n"/>
      <c r="CD117" s="35" t="n"/>
      <c r="CF117" s="35" t="n"/>
      <c r="CH117" s="35" t="n"/>
      <c r="CJ117" s="35" t="n"/>
    </row>
    <row r="118">
      <c r="A118" s="31" t="n"/>
      <c r="B118" s="31" t="n"/>
      <c r="C118" s="37" t="inlineStr">
        <is>
          <t>1 Feb 2027 to 3 Oct 2027</t>
        </is>
      </c>
      <c r="D118" s="31" t="n"/>
      <c r="E118" s="31" t="n"/>
      <c r="F118" s="31" t="n"/>
      <c r="G118" s="31" t="n"/>
      <c r="H118" s="31" t="n"/>
      <c r="I118" s="31" t="n"/>
      <c r="J118" s="31" t="n"/>
      <c r="K118" s="31" t="n"/>
      <c r="L118" s="31" t="n"/>
      <c r="M118" s="31" t="n"/>
      <c r="N118" s="31" t="n"/>
      <c r="O118" s="31" t="n"/>
      <c r="P118" s="31" t="inlineStr">
        <is>
          <t>Dsgn</t>
        </is>
      </c>
      <c r="Q118" s="31" t="inlineStr"/>
      <c r="R118" s="38" t="n"/>
      <c r="T118" s="38" t="n"/>
      <c r="V118" s="38" t="n"/>
      <c r="X118" s="38" t="n"/>
      <c r="Z118" s="38" t="n"/>
      <c r="AB118" s="38" t="n"/>
      <c r="AD118" s="38" t="n"/>
      <c r="AF118" s="38" t="n"/>
      <c r="AH118" s="38" t="n"/>
      <c r="AJ118" s="38" t="n"/>
      <c r="AL118" s="38" t="n"/>
      <c r="AN118" s="38" t="n"/>
      <c r="AP118" s="38" t="n"/>
      <c r="AR118" s="47" t="inlineStr">
        <is>
          <t>Dsgn</t>
        </is>
      </c>
      <c r="AS118" s="12" t="n"/>
      <c r="AT118" s="53" t="n"/>
      <c r="AV118" s="38" t="n"/>
      <c r="AX118" s="38" t="n"/>
      <c r="AZ118" s="38" t="n"/>
      <c r="BB118" s="38" t="n"/>
      <c r="BD118" s="38" t="n"/>
      <c r="BF118" s="38" t="n"/>
      <c r="BH118" s="38" t="n"/>
      <c r="BJ118" s="38" t="n"/>
      <c r="BL118" s="38" t="n"/>
      <c r="BN118" s="38" t="n"/>
      <c r="BP118" s="38" t="n"/>
      <c r="BR118" s="39" t="n"/>
      <c r="BT118" s="38" t="n"/>
      <c r="BV118" s="38" t="n"/>
      <c r="BX118" s="38" t="n"/>
      <c r="BZ118" s="38" t="n"/>
      <c r="CB118" s="38" t="n"/>
      <c r="CD118" s="38" t="n"/>
      <c r="CF118" s="38" t="n"/>
      <c r="CH118" s="38" t="n"/>
      <c r="CJ118" s="38" t="n"/>
    </row>
    <row r="119">
      <c r="A119" s="31" t="n"/>
      <c r="B119" s="31" t="n"/>
      <c r="C119" s="40" t="inlineStr">
        <is>
          <t>BE M (2 FTE spr) · App M (2 FTE spr) · Design M</t>
        </is>
      </c>
      <c r="D119" s="31" t="n"/>
      <c r="E119" s="31" t="n"/>
      <c r="F119" s="31" t="n"/>
      <c r="G119" s="31" t="n"/>
      <c r="H119" s="31" t="n"/>
      <c r="I119" s="31" t="n"/>
      <c r="J119" s="31" t="n"/>
      <c r="K119" s="31" t="n"/>
      <c r="L119" s="31" t="n"/>
      <c r="M119" s="31" t="n"/>
      <c r="N119" s="31" t="n"/>
      <c r="O119" s="31" t="n"/>
      <c r="P119" s="31" t="inlineStr">
        <is>
          <t>TPM</t>
        </is>
      </c>
      <c r="Q119" s="31" t="inlineStr"/>
      <c r="R119" s="38" t="n"/>
      <c r="T119" s="38" t="n"/>
      <c r="V119" s="38" t="n"/>
      <c r="X119" s="38" t="n"/>
      <c r="Z119" s="38" t="n"/>
      <c r="AB119" s="38" t="n"/>
      <c r="AD119" s="38" t="n"/>
      <c r="AF119" s="38" t="n"/>
      <c r="AH119" s="38" t="n"/>
      <c r="AJ119" s="38" t="n"/>
      <c r="AL119" s="38" t="n"/>
      <c r="AN119" s="38" t="n"/>
      <c r="AP119" s="38" t="n"/>
      <c r="AR119" s="38" t="n"/>
      <c r="AT119" s="38" t="n"/>
      <c r="AU119" s="45" t="inlineStr">
        <is>
          <t>TPM</t>
        </is>
      </c>
      <c r="AV119" s="56" t="n"/>
      <c r="AX119" s="38" t="n"/>
      <c r="AZ119" s="38" t="n"/>
      <c r="BB119" s="38" t="n"/>
      <c r="BD119" s="38" t="n"/>
      <c r="BF119" s="38" t="n"/>
      <c r="BH119" s="38" t="n"/>
      <c r="BJ119" s="38" t="n"/>
      <c r="BL119" s="38" t="n"/>
      <c r="BN119" s="38" t="n"/>
      <c r="BP119" s="38" t="n"/>
      <c r="BR119" s="39" t="n"/>
      <c r="BT119" s="38" t="n"/>
      <c r="BV119" s="38" t="n"/>
      <c r="BX119" s="38" t="n"/>
      <c r="BZ119" s="38" t="n"/>
      <c r="CB119" s="38" t="n"/>
      <c r="CD119" s="38" t="n"/>
      <c r="CF119" s="38" t="n"/>
      <c r="CH119" s="38" t="n"/>
      <c r="CJ119" s="38" t="n"/>
    </row>
    <row r="120">
      <c r="A120" s="31" t="n"/>
      <c r="B120" s="31" t="n"/>
      <c r="C120" s="41">
        <f>HYPERLINK("https://app.asana.com/1/8556634603607/project/1215564565348002/task/1215836632250426","Asana task")</f>
        <v/>
      </c>
      <c r="D120" s="31" t="n"/>
      <c r="E120" s="31" t="n"/>
      <c r="F120" s="31" t="n"/>
      <c r="G120" s="31" t="n"/>
      <c r="H120" s="31" t="n"/>
      <c r="I120" s="31" t="n"/>
      <c r="J120" s="31" t="n"/>
      <c r="K120" s="31" t="n"/>
      <c r="L120" s="31" t="n"/>
      <c r="M120" s="31" t="n"/>
      <c r="N120" s="31" t="n"/>
      <c r="O120" s="31" t="n"/>
      <c r="P120" s="31" t="inlineStr">
        <is>
          <t>BE</t>
        </is>
      </c>
      <c r="Q120" s="31" t="n">
        <v>1</v>
      </c>
      <c r="R120" s="38" t="n"/>
      <c r="T120" s="38" t="n"/>
      <c r="V120" s="38" t="n"/>
      <c r="X120" s="38" t="n"/>
      <c r="Z120" s="38" t="n"/>
      <c r="AB120" s="38" t="n"/>
      <c r="AD120" s="38" t="n"/>
      <c r="AF120" s="38" t="n"/>
      <c r="AH120" s="38" t="n"/>
      <c r="AJ120" s="38" t="n"/>
      <c r="AL120" s="38" t="n"/>
      <c r="AN120" s="38" t="n"/>
      <c r="AP120" s="38" t="n"/>
      <c r="AR120" s="38" t="n"/>
      <c r="AT120" s="38" t="n"/>
      <c r="AV120" s="38" t="n"/>
      <c r="AX120" s="38" t="n"/>
      <c r="AZ120" s="38" t="n"/>
      <c r="BB120" s="38" t="n"/>
      <c r="BD120" s="38" t="n"/>
      <c r="BF120" s="38" t="n"/>
      <c r="BH120" s="38" t="n"/>
      <c r="BJ120" s="38" t="n"/>
      <c r="BL120" s="38" t="n"/>
      <c r="BM120" s="30" t="inlineStr">
        <is>
          <t>BE</t>
        </is>
      </c>
      <c r="BN120" s="46" t="n"/>
      <c r="BO120" s="14" t="n"/>
      <c r="BP120" s="46" t="n"/>
      <c r="BR120" s="39" t="n"/>
      <c r="BT120" s="38" t="n"/>
      <c r="BV120" s="38" t="n"/>
      <c r="BX120" s="38" t="n"/>
      <c r="BZ120" s="38" t="n"/>
      <c r="CB120" s="38" t="n"/>
      <c r="CD120" s="38" t="n"/>
      <c r="CF120" s="38" t="n"/>
      <c r="CH120" s="38" t="n"/>
      <c r="CJ120" s="38" t="n"/>
    </row>
    <row r="121">
      <c r="A121" s="31" t="n"/>
      <c r="B121" s="31" t="n"/>
      <c r="C121" s="31" t="n"/>
      <c r="D121" s="31" t="n"/>
      <c r="E121" s="31" t="n"/>
      <c r="F121" s="31" t="n"/>
      <c r="G121" s="31" t="n"/>
      <c r="H121" s="31" t="n"/>
      <c r="I121" s="31" t="n"/>
      <c r="J121" s="31" t="n"/>
      <c r="K121" s="31" t="n"/>
      <c r="L121" s="31" t="n"/>
      <c r="M121" s="31" t="n"/>
      <c r="N121" s="31" t="n"/>
      <c r="O121" s="31" t="n"/>
      <c r="P121" s="31" t="inlineStr">
        <is>
          <t>App</t>
        </is>
      </c>
      <c r="Q121" s="31" t="n">
        <v>1</v>
      </c>
      <c r="R121" s="38" t="n"/>
      <c r="T121" s="38" t="n"/>
      <c r="V121" s="38" t="n"/>
      <c r="X121" s="38" t="n"/>
      <c r="Z121" s="38" t="n"/>
      <c r="AB121" s="38" t="n"/>
      <c r="AD121" s="38" t="n"/>
      <c r="AF121" s="38" t="n"/>
      <c r="AH121" s="38" t="n"/>
      <c r="AJ121" s="38" t="n"/>
      <c r="AL121" s="38" t="n"/>
      <c r="AN121" s="38" t="n"/>
      <c r="AP121" s="38" t="n"/>
      <c r="AR121" s="38" t="n"/>
      <c r="AT121" s="38" t="n"/>
      <c r="AV121" s="38" t="n"/>
      <c r="AX121" s="38" t="n"/>
      <c r="AZ121" s="38" t="n"/>
      <c r="BB121" s="38" t="n"/>
      <c r="BD121" s="38" t="n"/>
      <c r="BF121" s="38" t="n"/>
      <c r="BH121" s="38" t="n"/>
      <c r="BJ121" s="38" t="n"/>
      <c r="BL121" s="38" t="n"/>
      <c r="BN121" s="38" t="n"/>
      <c r="BP121" s="38" t="n"/>
      <c r="BQ121" s="32" t="inlineStr">
        <is>
          <t>App</t>
        </is>
      </c>
      <c r="BR121" s="59" t="n"/>
      <c r="BS121" s="15" t="n"/>
      <c r="BT121" s="54" t="n"/>
      <c r="BV121" s="38" t="n"/>
      <c r="BX121" s="38" t="n"/>
      <c r="BZ121" s="38" t="n"/>
      <c r="CB121" s="38" t="n"/>
      <c r="CD121" s="38" t="n"/>
      <c r="CF121" s="38" t="n"/>
      <c r="CH121" s="38" t="n"/>
      <c r="CJ121" s="38" t="n"/>
    </row>
    <row r="122">
      <c r="A122" s="31" t="n"/>
      <c r="B122" s="31" t="n"/>
      <c r="C122" s="31" t="n"/>
      <c r="D122" s="31" t="n"/>
      <c r="E122" s="31" t="n"/>
      <c r="F122" s="31" t="n"/>
      <c r="G122" s="31" t="n"/>
      <c r="H122" s="31" t="n"/>
      <c r="I122" s="31" t="n"/>
      <c r="J122" s="31" t="n"/>
      <c r="K122" s="31" t="n"/>
      <c r="L122" s="31" t="n"/>
      <c r="M122" s="31" t="n"/>
      <c r="N122" s="31" t="n"/>
      <c r="O122" s="31" t="n"/>
      <c r="P122" s="31" t="inlineStr">
        <is>
          <t>QA</t>
        </is>
      </c>
      <c r="Q122" s="31" t="inlineStr"/>
      <c r="R122" s="38" t="n"/>
      <c r="T122" s="38" t="n"/>
      <c r="V122" s="38" t="n"/>
      <c r="X122" s="38" t="n"/>
      <c r="Z122" s="38" t="n"/>
      <c r="AB122" s="38" t="n"/>
      <c r="AD122" s="38" t="n"/>
      <c r="AF122" s="38" t="n"/>
      <c r="AH122" s="38" t="n"/>
      <c r="AJ122" s="38" t="n"/>
      <c r="AL122" s="38" t="n"/>
      <c r="AN122" s="38" t="n"/>
      <c r="AP122" s="38" t="n"/>
      <c r="AR122" s="38" t="n"/>
      <c r="AT122" s="38" t="n"/>
      <c r="AV122" s="38" t="n"/>
      <c r="AX122" s="38" t="n"/>
      <c r="AZ122" s="38" t="n"/>
      <c r="BB122" s="38" t="n"/>
      <c r="BD122" s="38" t="n"/>
      <c r="BF122" s="38" t="n"/>
      <c r="BH122" s="38" t="n"/>
      <c r="BJ122" s="38" t="n"/>
      <c r="BL122" s="38" t="n"/>
      <c r="BN122" s="38" t="n"/>
      <c r="BP122" s="38" t="n"/>
      <c r="BR122" s="39" t="n"/>
      <c r="BT122" s="38" t="n"/>
      <c r="BU122" s="33" t="inlineStr">
        <is>
          <t>QA</t>
        </is>
      </c>
      <c r="BV122" s="55" t="n"/>
      <c r="BX122" s="38" t="n"/>
      <c r="BZ122" s="38" t="n"/>
      <c r="CB122" s="38" t="n"/>
      <c r="CD122" s="38" t="n"/>
      <c r="CF122" s="38" t="n"/>
      <c r="CH122" s="38" t="n"/>
      <c r="CJ122" s="38" t="n"/>
    </row>
    <row r="123">
      <c r="A123" s="28" t="inlineStr">
        <is>
          <t>Business Goal</t>
        </is>
      </c>
      <c r="B123" s="28" t="inlineStr">
        <is>
          <t>eSIM</t>
        </is>
      </c>
      <c r="C123" s="34" t="inlineStr">
        <is>
          <t>#17 eSIM location-based improvements</t>
        </is>
      </c>
      <c r="D123" s="28" t="inlineStr">
        <is>
          <t>Medium</t>
        </is>
      </c>
      <c r="E123" s="28" t="inlineStr">
        <is>
          <t>Q3</t>
        </is>
      </c>
      <c r="F123" s="57" t="inlineStr">
        <is>
          <t>FY28 risk</t>
        </is>
      </c>
      <c r="G123" s="28" t="inlineStr">
        <is>
          <t>M</t>
        </is>
      </c>
      <c r="H123" s="28" t="inlineStr"/>
      <c r="I123" s="28" t="inlineStr"/>
      <c r="J123" s="28" t="inlineStr"/>
      <c r="K123" s="28" t="inlineStr"/>
      <c r="L123" s="28" t="inlineStr"/>
      <c r="M123" s="28" t="inlineStr"/>
      <c r="N123" s="28" t="inlineStr"/>
      <c r="O123" s="28" t="inlineStr"/>
      <c r="P123" s="28" t="inlineStr">
        <is>
          <t>PM</t>
        </is>
      </c>
      <c r="Q123" s="28" t="inlineStr"/>
      <c r="R123" s="35" t="n"/>
      <c r="T123" s="35" t="n"/>
      <c r="V123" s="35" t="n"/>
      <c r="X123" s="35" t="n"/>
      <c r="Z123" s="35" t="n"/>
      <c r="AB123" s="35" t="n"/>
      <c r="AD123" s="35" t="n"/>
      <c r="AF123" s="35" t="n"/>
      <c r="AH123" s="35" t="n"/>
      <c r="AJ123" s="35" t="n"/>
      <c r="AL123" s="35" t="n"/>
      <c r="AN123" s="35" t="n"/>
      <c r="AP123" s="44" t="inlineStr">
        <is>
          <t>PM</t>
        </is>
      </c>
      <c r="AQ123" s="11" t="n"/>
      <c r="AR123" s="35" t="n"/>
      <c r="AT123" s="35" t="n"/>
      <c r="AV123" s="35" t="n"/>
      <c r="AX123" s="35" t="n"/>
      <c r="AZ123" s="35" t="n"/>
      <c r="BB123" s="35" t="n"/>
      <c r="BD123" s="35" t="n"/>
      <c r="BF123" s="35" t="n"/>
      <c r="BH123" s="35" t="n"/>
      <c r="BJ123" s="35" t="n"/>
      <c r="BL123" s="35" t="n"/>
      <c r="BN123" s="35" t="n"/>
      <c r="BP123" s="35" t="n"/>
      <c r="BR123" s="36" t="n"/>
      <c r="BT123" s="35" t="n"/>
      <c r="BV123" s="35" t="n"/>
      <c r="BX123" s="35" t="n"/>
      <c r="BZ123" s="35" t="n"/>
      <c r="CB123" s="35" t="n"/>
      <c r="CD123" s="35" t="n"/>
      <c r="CF123" s="35" t="n"/>
      <c r="CH123" s="35" t="n"/>
      <c r="CJ123" s="35" t="n"/>
    </row>
    <row r="124">
      <c r="A124" s="31" t="n"/>
      <c r="B124" s="31" t="n"/>
      <c r="C124" s="37" t="inlineStr">
        <is>
          <t>15 Feb 2027 to 31 Oct 2027</t>
        </is>
      </c>
      <c r="D124" s="31" t="n"/>
      <c r="E124" s="31" t="n"/>
      <c r="F124" s="31" t="n"/>
      <c r="G124" s="31" t="n"/>
      <c r="H124" s="31" t="n"/>
      <c r="I124" s="31" t="n"/>
      <c r="J124" s="31" t="n"/>
      <c r="K124" s="31" t="n"/>
      <c r="L124" s="31" t="n"/>
      <c r="M124" s="31" t="n"/>
      <c r="N124" s="31" t="n"/>
      <c r="O124" s="31" t="n"/>
      <c r="P124" s="31" t="inlineStr">
        <is>
          <t>Dsgn</t>
        </is>
      </c>
      <c r="Q124" s="31" t="inlineStr"/>
      <c r="R124" s="38" t="n"/>
      <c r="T124" s="38" t="n"/>
      <c r="V124" s="38" t="n"/>
      <c r="X124" s="38" t="n"/>
      <c r="Z124" s="38" t="n"/>
      <c r="AB124" s="38" t="n"/>
      <c r="AD124" s="38" t="n"/>
      <c r="AF124" s="38" t="n"/>
      <c r="AH124" s="38" t="n"/>
      <c r="AJ124" s="38" t="n"/>
      <c r="AL124" s="38" t="n"/>
      <c r="AN124" s="38" t="n"/>
      <c r="AP124" s="38" t="n"/>
      <c r="AR124" s="38" t="n"/>
      <c r="AS124" s="52" t="inlineStr">
        <is>
          <t>Dsgn</t>
        </is>
      </c>
      <c r="AT124" s="53" t="n"/>
      <c r="AV124" s="38" t="n"/>
      <c r="AX124" s="38" t="n"/>
      <c r="AZ124" s="38" t="n"/>
      <c r="BB124" s="38" t="n"/>
      <c r="BD124" s="38" t="n"/>
      <c r="BF124" s="38" t="n"/>
      <c r="BH124" s="38" t="n"/>
      <c r="BJ124" s="38" t="n"/>
      <c r="BL124" s="38" t="n"/>
      <c r="BN124" s="38" t="n"/>
      <c r="BP124" s="38" t="n"/>
      <c r="BR124" s="39" t="n"/>
      <c r="BT124" s="38" t="n"/>
      <c r="BV124" s="38" t="n"/>
      <c r="BX124" s="38" t="n"/>
      <c r="BZ124" s="38" t="n"/>
      <c r="CB124" s="38" t="n"/>
      <c r="CD124" s="38" t="n"/>
      <c r="CF124" s="38" t="n"/>
      <c r="CH124" s="38" t="n"/>
      <c r="CJ124" s="38" t="n"/>
    </row>
    <row r="125">
      <c r="A125" s="31" t="n"/>
      <c r="B125" s="31" t="n"/>
      <c r="C125" s="40" t="inlineStr">
        <is>
          <t>BE S (1 FTE spr) · App M (2 FTE spr) · Design S</t>
        </is>
      </c>
      <c r="D125" s="31" t="n"/>
      <c r="E125" s="31" t="n"/>
      <c r="F125" s="31" t="n"/>
      <c r="G125" s="31" t="n"/>
      <c r="H125" s="31" t="n"/>
      <c r="I125" s="31" t="n"/>
      <c r="J125" s="31" t="n"/>
      <c r="K125" s="31" t="n"/>
      <c r="L125" s="31" t="n"/>
      <c r="M125" s="31" t="n"/>
      <c r="N125" s="31" t="n"/>
      <c r="O125" s="31" t="n"/>
      <c r="P125" s="31" t="inlineStr">
        <is>
          <t>TPM</t>
        </is>
      </c>
      <c r="Q125" s="31" t="inlineStr"/>
      <c r="R125" s="38" t="n"/>
      <c r="T125" s="38" t="n"/>
      <c r="V125" s="38" t="n"/>
      <c r="X125" s="38" t="n"/>
      <c r="Z125" s="38" t="n"/>
      <c r="AB125" s="38" t="n"/>
      <c r="AD125" s="38" t="n"/>
      <c r="AF125" s="38" t="n"/>
      <c r="AH125" s="38" t="n"/>
      <c r="AJ125" s="38" t="n"/>
      <c r="AL125" s="38" t="n"/>
      <c r="AN125" s="38" t="n"/>
      <c r="AP125" s="38" t="n"/>
      <c r="AR125" s="38" t="n"/>
      <c r="AT125" s="38" t="n"/>
      <c r="AU125" s="45" t="inlineStr">
        <is>
          <t>TPM</t>
        </is>
      </c>
      <c r="AV125" s="38" t="n"/>
      <c r="AX125" s="38" t="n"/>
      <c r="AZ125" s="38" t="n"/>
      <c r="BB125" s="38" t="n"/>
      <c r="BD125" s="38" t="n"/>
      <c r="BF125" s="38" t="n"/>
      <c r="BH125" s="38" t="n"/>
      <c r="BJ125" s="38" t="n"/>
      <c r="BL125" s="38" t="n"/>
      <c r="BN125" s="38" t="n"/>
      <c r="BP125" s="38" t="n"/>
      <c r="BR125" s="39" t="n"/>
      <c r="BT125" s="38" t="n"/>
      <c r="BV125" s="38" t="n"/>
      <c r="BX125" s="38" t="n"/>
      <c r="BZ125" s="38" t="n"/>
      <c r="CB125" s="38" t="n"/>
      <c r="CD125" s="38" t="n"/>
      <c r="CF125" s="38" t="n"/>
      <c r="CH125" s="38" t="n"/>
      <c r="CJ125" s="38" t="n"/>
    </row>
    <row r="126">
      <c r="A126" s="31" t="n"/>
      <c r="B126" s="31" t="n"/>
      <c r="C126" s="41">
        <f>HYPERLINK("https://app.asana.com/1/8556634603607/project/1215564565348002/task/1215728501648860","Asana task")</f>
        <v/>
      </c>
      <c r="D126" s="31" t="n"/>
      <c r="E126" s="31" t="n"/>
      <c r="F126" s="31" t="n"/>
      <c r="G126" s="31" t="n"/>
      <c r="H126" s="31" t="n"/>
      <c r="I126" s="31" t="n"/>
      <c r="J126" s="31" t="n"/>
      <c r="K126" s="31" t="n"/>
      <c r="L126" s="31" t="n"/>
      <c r="M126" s="31" t="n"/>
      <c r="N126" s="31" t="n"/>
      <c r="O126" s="31" t="n"/>
      <c r="P126" s="31" t="inlineStr">
        <is>
          <t>BE</t>
        </is>
      </c>
      <c r="Q126" s="31" t="n">
        <v>1</v>
      </c>
      <c r="R126" s="38" t="n"/>
      <c r="T126" s="38" t="n"/>
      <c r="V126" s="38" t="n"/>
      <c r="X126" s="38" t="n"/>
      <c r="Z126" s="38" t="n"/>
      <c r="AB126" s="38" t="n"/>
      <c r="AD126" s="38" t="n"/>
      <c r="AF126" s="38" t="n"/>
      <c r="AH126" s="38" t="n"/>
      <c r="AJ126" s="38" t="n"/>
      <c r="AL126" s="38" t="n"/>
      <c r="AN126" s="38" t="n"/>
      <c r="AP126" s="38" t="n"/>
      <c r="AR126" s="38" t="n"/>
      <c r="AT126" s="38" t="n"/>
      <c r="AV126" s="38" t="n"/>
      <c r="AX126" s="38" t="n"/>
      <c r="AZ126" s="38" t="n"/>
      <c r="BB126" s="38" t="n"/>
      <c r="BD126" s="38" t="n"/>
      <c r="BF126" s="38" t="n"/>
      <c r="BH126" s="38" t="n"/>
      <c r="BJ126" s="38" t="n"/>
      <c r="BL126" s="38" t="n"/>
      <c r="BN126" s="38" t="n"/>
      <c r="BP126" s="38" t="n"/>
      <c r="BQ126" s="30" t="inlineStr">
        <is>
          <t>BE</t>
        </is>
      </c>
      <c r="BR126" s="60" t="n"/>
      <c r="BT126" s="38" t="n"/>
      <c r="BV126" s="38" t="n"/>
      <c r="BX126" s="38" t="n"/>
      <c r="BZ126" s="38" t="n"/>
      <c r="CB126" s="38" t="n"/>
      <c r="CD126" s="38" t="n"/>
      <c r="CF126" s="38" t="n"/>
      <c r="CH126" s="38" t="n"/>
      <c r="CJ126" s="38" t="n"/>
    </row>
    <row r="127">
      <c r="A127" s="31" t="n"/>
      <c r="B127" s="31" t="n"/>
      <c r="C127" s="31" t="n"/>
      <c r="D127" s="31" t="n"/>
      <c r="E127" s="31" t="n"/>
      <c r="F127" s="31" t="n"/>
      <c r="G127" s="31" t="n"/>
      <c r="H127" s="31" t="n"/>
      <c r="I127" s="31" t="n"/>
      <c r="J127" s="31" t="n"/>
      <c r="K127" s="31" t="n"/>
      <c r="L127" s="31" t="n"/>
      <c r="M127" s="31" t="n"/>
      <c r="N127" s="31" t="n"/>
      <c r="O127" s="31" t="n"/>
      <c r="P127" s="31" t="inlineStr">
        <is>
          <t>App</t>
        </is>
      </c>
      <c r="Q127" s="31" t="n">
        <v>1</v>
      </c>
      <c r="R127" s="38" t="n"/>
      <c r="T127" s="38" t="n"/>
      <c r="V127" s="38" t="n"/>
      <c r="X127" s="38" t="n"/>
      <c r="Z127" s="38" t="n"/>
      <c r="AB127" s="38" t="n"/>
      <c r="AD127" s="38" t="n"/>
      <c r="AF127" s="38" t="n"/>
      <c r="AH127" s="38" t="n"/>
      <c r="AJ127" s="38" t="n"/>
      <c r="AL127" s="38" t="n"/>
      <c r="AN127" s="38" t="n"/>
      <c r="AP127" s="38" t="n"/>
      <c r="AR127" s="38" t="n"/>
      <c r="AT127" s="38" t="n"/>
      <c r="AV127" s="38" t="n"/>
      <c r="AX127" s="38" t="n"/>
      <c r="AZ127" s="38" t="n"/>
      <c r="BB127" s="38" t="n"/>
      <c r="BD127" s="38" t="n"/>
      <c r="BF127" s="38" t="n"/>
      <c r="BH127" s="38" t="n"/>
      <c r="BJ127" s="38" t="n"/>
      <c r="BL127" s="38" t="n"/>
      <c r="BN127" s="38" t="n"/>
      <c r="BP127" s="38" t="n"/>
      <c r="BR127" s="39" t="n"/>
      <c r="BT127" s="38" t="n"/>
      <c r="BU127" s="32" t="inlineStr">
        <is>
          <t>App</t>
        </is>
      </c>
      <c r="BV127" s="54" t="n"/>
      <c r="BW127" s="15" t="n"/>
      <c r="BX127" s="54" t="n"/>
      <c r="BZ127" s="38" t="n"/>
      <c r="CB127" s="38" t="n"/>
      <c r="CD127" s="38" t="n"/>
      <c r="CF127" s="38" t="n"/>
      <c r="CH127" s="38" t="n"/>
      <c r="CJ127" s="38" t="n"/>
    </row>
    <row r="128">
      <c r="A128" s="31" t="n"/>
      <c r="B128" s="31" t="n"/>
      <c r="C128" s="31" t="n"/>
      <c r="D128" s="31" t="n"/>
      <c r="E128" s="31" t="n"/>
      <c r="F128" s="31" t="n"/>
      <c r="G128" s="31" t="n"/>
      <c r="H128" s="31" t="n"/>
      <c r="I128" s="31" t="n"/>
      <c r="J128" s="31" t="n"/>
      <c r="K128" s="31" t="n"/>
      <c r="L128" s="31" t="n"/>
      <c r="M128" s="31" t="n"/>
      <c r="N128" s="31" t="n"/>
      <c r="O128" s="31" t="n"/>
      <c r="P128" s="31" t="inlineStr">
        <is>
          <t>QA</t>
        </is>
      </c>
      <c r="Q128" s="31" t="inlineStr"/>
      <c r="R128" s="38" t="n"/>
      <c r="T128" s="38" t="n"/>
      <c r="V128" s="38" t="n"/>
      <c r="X128" s="38" t="n"/>
      <c r="Z128" s="38" t="n"/>
      <c r="AB128" s="38" t="n"/>
      <c r="AD128" s="38" t="n"/>
      <c r="AF128" s="38" t="n"/>
      <c r="AH128" s="38" t="n"/>
      <c r="AJ128" s="38" t="n"/>
      <c r="AL128" s="38" t="n"/>
      <c r="AN128" s="38" t="n"/>
      <c r="AP128" s="38" t="n"/>
      <c r="AR128" s="38" t="n"/>
      <c r="AT128" s="38" t="n"/>
      <c r="AV128" s="38" t="n"/>
      <c r="AX128" s="38" t="n"/>
      <c r="AZ128" s="38" t="n"/>
      <c r="BB128" s="38" t="n"/>
      <c r="BD128" s="38" t="n"/>
      <c r="BF128" s="38" t="n"/>
      <c r="BH128" s="38" t="n"/>
      <c r="BJ128" s="38" t="n"/>
      <c r="BL128" s="38" t="n"/>
      <c r="BN128" s="38" t="n"/>
      <c r="BP128" s="38" t="n"/>
      <c r="BR128" s="39" t="n"/>
      <c r="BT128" s="38" t="n"/>
      <c r="BV128" s="38" t="n"/>
      <c r="BX128" s="38" t="n"/>
      <c r="BY128" s="33" t="inlineStr">
        <is>
          <t>QA</t>
        </is>
      </c>
      <c r="BZ128" s="55" t="n"/>
      <c r="CB128" s="38" t="n"/>
      <c r="CD128" s="38" t="n"/>
      <c r="CF128" s="38" t="n"/>
      <c r="CH128" s="38" t="n"/>
      <c r="CJ128" s="38" t="n"/>
    </row>
    <row r="129">
      <c r="A129" s="28" t="inlineStr">
        <is>
          <t>Board Goal</t>
        </is>
      </c>
      <c r="B129" s="28" t="inlineStr">
        <is>
          <t>All Products</t>
        </is>
      </c>
      <c r="C129" s="34" t="inlineStr">
        <is>
          <t>#18 Personalised experiences via Engager (ML-driven)</t>
        </is>
      </c>
      <c r="D129" s="28" t="inlineStr">
        <is>
          <t>Medium</t>
        </is>
      </c>
      <c r="E129" s="28" t="inlineStr">
        <is>
          <t>Q4</t>
        </is>
      </c>
      <c r="F129" s="57" t="inlineStr">
        <is>
          <t>FY28 risk</t>
        </is>
      </c>
      <c r="G129" s="28" t="inlineStr">
        <is>
          <t>M</t>
        </is>
      </c>
      <c r="H129" s="28" t="inlineStr"/>
      <c r="I129" s="28" t="inlineStr"/>
      <c r="J129" s="28" t="inlineStr"/>
      <c r="K129" s="28" t="inlineStr"/>
      <c r="L129" s="28" t="inlineStr"/>
      <c r="M129" s="28" t="inlineStr"/>
      <c r="N129" s="28" t="inlineStr"/>
      <c r="O129" s="28" t="inlineStr"/>
      <c r="P129" s="28" t="inlineStr">
        <is>
          <t>PM</t>
        </is>
      </c>
      <c r="Q129" s="28" t="inlineStr"/>
      <c r="R129" s="35" t="n"/>
      <c r="T129" s="35" t="n"/>
      <c r="V129" s="35" t="n"/>
      <c r="X129" s="35" t="n"/>
      <c r="Z129" s="35" t="n"/>
      <c r="AB129" s="35" t="n"/>
      <c r="AD129" s="35" t="n"/>
      <c r="AF129" s="35" t="n"/>
      <c r="AH129" s="35" t="n"/>
      <c r="AJ129" s="35" t="n"/>
      <c r="AL129" s="35" t="n"/>
      <c r="AN129" s="35" t="n"/>
      <c r="AP129" s="35" t="n"/>
      <c r="AR129" s="35" t="n"/>
      <c r="AT129" s="35" t="n"/>
      <c r="AV129" s="35" t="n"/>
      <c r="AW129" s="50" t="inlineStr">
        <is>
          <t>PM</t>
        </is>
      </c>
      <c r="AX129" s="51" t="n"/>
      <c r="AY129" s="11" t="n"/>
      <c r="AZ129" s="35" t="n"/>
      <c r="BB129" s="35" t="n"/>
      <c r="BD129" s="35" t="n"/>
      <c r="BF129" s="35" t="n"/>
      <c r="BH129" s="35" t="n"/>
      <c r="BJ129" s="35" t="n"/>
      <c r="BL129" s="35" t="n"/>
      <c r="BN129" s="35" t="n"/>
      <c r="BP129" s="35" t="n"/>
      <c r="BR129" s="36" t="n"/>
      <c r="BT129" s="35" t="n"/>
      <c r="BV129" s="35" t="n"/>
      <c r="BX129" s="35" t="n"/>
      <c r="BZ129" s="35" t="n"/>
      <c r="CB129" s="35" t="n"/>
      <c r="CD129" s="35" t="n"/>
      <c r="CF129" s="35" t="n"/>
      <c r="CH129" s="35" t="n"/>
      <c r="CJ129" s="35" t="n"/>
    </row>
    <row r="130">
      <c r="A130" s="31" t="n"/>
      <c r="B130" s="31" t="n"/>
      <c r="C130" s="37" t="inlineStr">
        <is>
          <t>5 Apr 2027 to 31 Oct 2027</t>
        </is>
      </c>
      <c r="D130" s="31" t="n"/>
      <c r="E130" s="31" t="n"/>
      <c r="F130" s="31" t="n"/>
      <c r="G130" s="31" t="n"/>
      <c r="H130" s="31" t="n"/>
      <c r="I130" s="31" t="n"/>
      <c r="J130" s="31" t="n"/>
      <c r="K130" s="31" t="n"/>
      <c r="L130" s="31" t="n"/>
      <c r="M130" s="31" t="n"/>
      <c r="N130" s="31" t="n"/>
      <c r="O130" s="31" t="n"/>
      <c r="P130" s="31" t="inlineStr">
        <is>
          <t>Dsgn</t>
        </is>
      </c>
      <c r="Q130" s="31" t="inlineStr"/>
      <c r="R130" s="38" t="n"/>
      <c r="T130" s="38" t="n"/>
      <c r="V130" s="38" t="n"/>
      <c r="X130" s="38" t="n"/>
      <c r="Z130" s="38" t="n"/>
      <c r="AB130" s="38" t="n"/>
      <c r="AD130" s="38" t="n"/>
      <c r="AF130" s="38" t="n"/>
      <c r="AH130" s="38" t="n"/>
      <c r="AJ130" s="38" t="n"/>
      <c r="AL130" s="38" t="n"/>
      <c r="AN130" s="38" t="n"/>
      <c r="AP130" s="38" t="n"/>
      <c r="AR130" s="38" t="n"/>
      <c r="AT130" s="38" t="n"/>
      <c r="AV130" s="38" t="n"/>
      <c r="AX130" s="38" t="n"/>
      <c r="AZ130" s="47" t="inlineStr">
        <is>
          <t>Dsgn</t>
        </is>
      </c>
      <c r="BA130" s="12" t="n"/>
      <c r="BB130" s="53" t="n"/>
      <c r="BD130" s="38" t="n"/>
      <c r="BF130" s="38" t="n"/>
      <c r="BH130" s="38" t="n"/>
      <c r="BJ130" s="38" t="n"/>
      <c r="BL130" s="38" t="n"/>
      <c r="BN130" s="38" t="n"/>
      <c r="BP130" s="38" t="n"/>
      <c r="BR130" s="39" t="n"/>
      <c r="BT130" s="38" t="n"/>
      <c r="BV130" s="38" t="n"/>
      <c r="BX130" s="38" t="n"/>
      <c r="BZ130" s="38" t="n"/>
      <c r="CB130" s="38" t="n"/>
      <c r="CD130" s="38" t="n"/>
      <c r="CF130" s="38" t="n"/>
      <c r="CH130" s="38" t="n"/>
      <c r="CJ130" s="38" t="n"/>
    </row>
    <row r="131">
      <c r="A131" s="31" t="n"/>
      <c r="B131" s="31" t="n"/>
      <c r="C131" s="40" t="inlineStr">
        <is>
          <t>BE M (2 FTE spr) · App M (2 FTE spr) · Design M</t>
        </is>
      </c>
      <c r="D131" s="31" t="n"/>
      <c r="E131" s="31" t="n"/>
      <c r="F131" s="31" t="n"/>
      <c r="G131" s="31" t="n"/>
      <c r="H131" s="31" t="n"/>
      <c r="I131" s="31" t="n"/>
      <c r="J131" s="31" t="n"/>
      <c r="K131" s="31" t="n"/>
      <c r="L131" s="31" t="n"/>
      <c r="M131" s="31" t="n"/>
      <c r="N131" s="31" t="n"/>
      <c r="O131" s="31" t="n"/>
      <c r="P131" s="31" t="inlineStr">
        <is>
          <t>TPM</t>
        </is>
      </c>
      <c r="Q131" s="31" t="inlineStr"/>
      <c r="R131" s="38" t="n"/>
      <c r="T131" s="38" t="n"/>
      <c r="V131" s="38" t="n"/>
      <c r="X131" s="38" t="n"/>
      <c r="Z131" s="38" t="n"/>
      <c r="AB131" s="38" t="n"/>
      <c r="AD131" s="38" t="n"/>
      <c r="AF131" s="38" t="n"/>
      <c r="AH131" s="38" t="n"/>
      <c r="AJ131" s="38" t="n"/>
      <c r="AL131" s="38" t="n"/>
      <c r="AN131" s="38" t="n"/>
      <c r="AP131" s="38" t="n"/>
      <c r="AR131" s="38" t="n"/>
      <c r="AT131" s="38" t="n"/>
      <c r="AV131" s="38" t="n"/>
      <c r="AX131" s="38" t="n"/>
      <c r="AZ131" s="38" t="n"/>
      <c r="BB131" s="38" t="n"/>
      <c r="BC131" s="45" t="inlineStr">
        <is>
          <t>TPM</t>
        </is>
      </c>
      <c r="BD131" s="56" t="n"/>
      <c r="BF131" s="38" t="n"/>
      <c r="BH131" s="38" t="n"/>
      <c r="BJ131" s="38" t="n"/>
      <c r="BL131" s="38" t="n"/>
      <c r="BN131" s="38" t="n"/>
      <c r="BP131" s="38" t="n"/>
      <c r="BR131" s="39" t="n"/>
      <c r="BT131" s="38" t="n"/>
      <c r="BV131" s="38" t="n"/>
      <c r="BX131" s="38" t="n"/>
      <c r="BZ131" s="38" t="n"/>
      <c r="CB131" s="38" t="n"/>
      <c r="CD131" s="38" t="n"/>
      <c r="CF131" s="38" t="n"/>
      <c r="CH131" s="38" t="n"/>
      <c r="CJ131" s="38" t="n"/>
    </row>
    <row r="132">
      <c r="A132" s="31" t="n"/>
      <c r="B132" s="31" t="n"/>
      <c r="C132" s="41">
        <f>HYPERLINK("https://app.asana.com/1/8556634603607/project/1215564565348002/task/1218156429240270","Asana task")</f>
        <v/>
      </c>
      <c r="D132" s="31" t="n"/>
      <c r="E132" s="31" t="n"/>
      <c r="F132" s="31" t="n"/>
      <c r="G132" s="31" t="n"/>
      <c r="H132" s="31" t="n"/>
      <c r="I132" s="31" t="n"/>
      <c r="J132" s="31" t="n"/>
      <c r="K132" s="31" t="n"/>
      <c r="L132" s="31" t="n"/>
      <c r="M132" s="31" t="n"/>
      <c r="N132" s="31" t="n"/>
      <c r="O132" s="31" t="n"/>
      <c r="P132" s="31" t="inlineStr">
        <is>
          <t>BE</t>
        </is>
      </c>
      <c r="Q132" s="31" t="n">
        <v>1</v>
      </c>
      <c r="R132" s="38" t="n"/>
      <c r="T132" s="38" t="n"/>
      <c r="V132" s="38" t="n"/>
      <c r="X132" s="38" t="n"/>
      <c r="Z132" s="38" t="n"/>
      <c r="AB132" s="38" t="n"/>
      <c r="AD132" s="38" t="n"/>
      <c r="AF132" s="38" t="n"/>
      <c r="AH132" s="38" t="n"/>
      <c r="AJ132" s="38" t="n"/>
      <c r="AL132" s="38" t="n"/>
      <c r="AN132" s="38" t="n"/>
      <c r="AP132" s="38" t="n"/>
      <c r="AR132" s="38" t="n"/>
      <c r="AT132" s="38" t="n"/>
      <c r="AV132" s="38" t="n"/>
      <c r="AX132" s="38" t="n"/>
      <c r="AZ132" s="38" t="n"/>
      <c r="BB132" s="38" t="n"/>
      <c r="BD132" s="38" t="n"/>
      <c r="BF132" s="38" t="n"/>
      <c r="BH132" s="38" t="n"/>
      <c r="BJ132" s="38" t="n"/>
      <c r="BL132" s="38" t="n"/>
      <c r="BN132" s="38" t="n"/>
      <c r="BP132" s="38" t="n"/>
      <c r="BQ132" s="30" t="inlineStr">
        <is>
          <t>BE</t>
        </is>
      </c>
      <c r="BR132" s="60" t="n"/>
      <c r="BS132" s="14" t="n"/>
      <c r="BT132" s="46" t="n"/>
      <c r="BV132" s="38" t="n"/>
      <c r="BX132" s="38" t="n"/>
      <c r="BZ132" s="38" t="n"/>
      <c r="CB132" s="38" t="n"/>
      <c r="CD132" s="38" t="n"/>
      <c r="CF132" s="38" t="n"/>
      <c r="CH132" s="38" t="n"/>
      <c r="CJ132" s="38" t="n"/>
    </row>
    <row r="133">
      <c r="A133" s="31" t="n"/>
      <c r="B133" s="31" t="n"/>
      <c r="C133" s="31" t="n"/>
      <c r="D133" s="31" t="n"/>
      <c r="E133" s="31" t="n"/>
      <c r="F133" s="31" t="n"/>
      <c r="G133" s="31" t="n"/>
      <c r="H133" s="31" t="n"/>
      <c r="I133" s="31" t="n"/>
      <c r="J133" s="31" t="n"/>
      <c r="K133" s="31" t="n"/>
      <c r="L133" s="31" t="n"/>
      <c r="M133" s="31" t="n"/>
      <c r="N133" s="31" t="n"/>
      <c r="O133" s="31" t="n"/>
      <c r="P133" s="31" t="inlineStr">
        <is>
          <t>App</t>
        </is>
      </c>
      <c r="Q133" s="31" t="n">
        <v>1</v>
      </c>
      <c r="R133" s="38" t="n"/>
      <c r="T133" s="38" t="n"/>
      <c r="V133" s="38" t="n"/>
      <c r="X133" s="38" t="n"/>
      <c r="Z133" s="38" t="n"/>
      <c r="AB133" s="38" t="n"/>
      <c r="AD133" s="38" t="n"/>
      <c r="AF133" s="38" t="n"/>
      <c r="AH133" s="38" t="n"/>
      <c r="AJ133" s="38" t="n"/>
      <c r="AL133" s="38" t="n"/>
      <c r="AN133" s="38" t="n"/>
      <c r="AP133" s="38" t="n"/>
      <c r="AR133" s="38" t="n"/>
      <c r="AT133" s="38" t="n"/>
      <c r="AV133" s="38" t="n"/>
      <c r="AX133" s="38" t="n"/>
      <c r="AZ133" s="38" t="n"/>
      <c r="BB133" s="38" t="n"/>
      <c r="BD133" s="38" t="n"/>
      <c r="BF133" s="38" t="n"/>
      <c r="BH133" s="38" t="n"/>
      <c r="BJ133" s="38" t="n"/>
      <c r="BL133" s="38" t="n"/>
      <c r="BN133" s="38" t="n"/>
      <c r="BP133" s="38" t="n"/>
      <c r="BR133" s="39" t="n"/>
      <c r="BT133" s="38" t="n"/>
      <c r="BU133" s="32" t="inlineStr">
        <is>
          <t>App</t>
        </is>
      </c>
      <c r="BV133" s="54" t="n"/>
      <c r="BW133" s="15" t="n"/>
      <c r="BX133" s="54" t="n"/>
      <c r="BZ133" s="38" t="n"/>
      <c r="CB133" s="38" t="n"/>
      <c r="CD133" s="38" t="n"/>
      <c r="CF133" s="38" t="n"/>
      <c r="CH133" s="38" t="n"/>
      <c r="CJ133" s="38" t="n"/>
    </row>
    <row r="134">
      <c r="A134" s="31" t="n"/>
      <c r="B134" s="31" t="n"/>
      <c r="C134" s="31" t="n"/>
      <c r="D134" s="31" t="n"/>
      <c r="E134" s="31" t="n"/>
      <c r="F134" s="31" t="n"/>
      <c r="G134" s="31" t="n"/>
      <c r="H134" s="31" t="n"/>
      <c r="I134" s="31" t="n"/>
      <c r="J134" s="31" t="n"/>
      <c r="K134" s="31" t="n"/>
      <c r="L134" s="31" t="n"/>
      <c r="M134" s="31" t="n"/>
      <c r="N134" s="31" t="n"/>
      <c r="O134" s="31" t="n"/>
      <c r="P134" s="31" t="inlineStr">
        <is>
          <t>QA</t>
        </is>
      </c>
      <c r="Q134" s="31" t="inlineStr"/>
      <c r="R134" s="38" t="n"/>
      <c r="T134" s="38" t="n"/>
      <c r="V134" s="38" t="n"/>
      <c r="X134" s="38" t="n"/>
      <c r="Z134" s="38" t="n"/>
      <c r="AB134" s="38" t="n"/>
      <c r="AD134" s="38" t="n"/>
      <c r="AF134" s="38" t="n"/>
      <c r="AH134" s="38" t="n"/>
      <c r="AJ134" s="38" t="n"/>
      <c r="AL134" s="38" t="n"/>
      <c r="AN134" s="38" t="n"/>
      <c r="AP134" s="38" t="n"/>
      <c r="AR134" s="38" t="n"/>
      <c r="AT134" s="38" t="n"/>
      <c r="AV134" s="38" t="n"/>
      <c r="AX134" s="38" t="n"/>
      <c r="AZ134" s="38" t="n"/>
      <c r="BB134" s="38" t="n"/>
      <c r="BD134" s="38" t="n"/>
      <c r="BF134" s="38" t="n"/>
      <c r="BH134" s="38" t="n"/>
      <c r="BJ134" s="38" t="n"/>
      <c r="BL134" s="38" t="n"/>
      <c r="BN134" s="38" t="n"/>
      <c r="BP134" s="38" t="n"/>
      <c r="BR134" s="39" t="n"/>
      <c r="BT134" s="38" t="n"/>
      <c r="BV134" s="38" t="n"/>
      <c r="BX134" s="38" t="n"/>
      <c r="BY134" s="33" t="inlineStr">
        <is>
          <t>QA</t>
        </is>
      </c>
      <c r="BZ134" s="55" t="n"/>
      <c r="CB134" s="38" t="n"/>
      <c r="CD134" s="38" t="n"/>
      <c r="CF134" s="38" t="n"/>
      <c r="CH134" s="38" t="n"/>
      <c r="CJ134" s="38" t="n"/>
    </row>
    <row r="135">
      <c r="A135" s="28" t="inlineStr">
        <is>
          <t>Board Goal</t>
        </is>
      </c>
      <c r="B135" s="28" t="inlineStr">
        <is>
          <t>All Products</t>
        </is>
      </c>
      <c r="C135" s="34" t="inlineStr">
        <is>
          <t>#19 Promo balances support for the BR Wallet</t>
        </is>
      </c>
      <c r="D135" s="28" t="inlineStr">
        <is>
          <t>Medium</t>
        </is>
      </c>
      <c r="E135" s="28" t="inlineStr">
        <is>
          <t>Q4</t>
        </is>
      </c>
      <c r="F135" s="57" t="inlineStr">
        <is>
          <t>FY28 risk</t>
        </is>
      </c>
      <c r="G135" s="28" t="inlineStr">
        <is>
          <t>L</t>
        </is>
      </c>
      <c r="H135" s="28" t="inlineStr"/>
      <c r="I135" s="28" t="inlineStr"/>
      <c r="J135" s="28" t="inlineStr"/>
      <c r="K135" s="28" t="inlineStr"/>
      <c r="L135" s="28" t="inlineStr"/>
      <c r="M135" s="28" t="inlineStr"/>
      <c r="N135" s="28" t="inlineStr"/>
      <c r="O135" s="28" t="inlineStr"/>
      <c r="P135" s="28" t="inlineStr">
        <is>
          <t>PM</t>
        </is>
      </c>
      <c r="Q135" s="28" t="inlineStr"/>
      <c r="R135" s="35" t="n"/>
      <c r="T135" s="35" t="n"/>
      <c r="V135" s="35" t="n"/>
      <c r="X135" s="35" t="n"/>
      <c r="Z135" s="35" t="n"/>
      <c r="AB135" s="35" t="n"/>
      <c r="AD135" s="35" t="n"/>
      <c r="AF135" s="35" t="n"/>
      <c r="AH135" s="35" t="n"/>
      <c r="AJ135" s="35" t="n"/>
      <c r="AL135" s="35" t="n"/>
      <c r="AN135" s="35" t="n"/>
      <c r="AP135" s="35" t="n"/>
      <c r="AR135" s="35" t="n"/>
      <c r="AT135" s="35" t="n"/>
      <c r="AV135" s="35" t="n"/>
      <c r="AW135" s="50" t="inlineStr">
        <is>
          <t>PM</t>
        </is>
      </c>
      <c r="AX135" s="51" t="n"/>
      <c r="AZ135" s="35" t="n"/>
      <c r="BB135" s="35" t="n"/>
      <c r="BD135" s="35" t="n"/>
      <c r="BF135" s="35" t="n"/>
      <c r="BH135" s="35" t="n"/>
      <c r="BJ135" s="35" t="n"/>
      <c r="BL135" s="35" t="n"/>
      <c r="BN135" s="35" t="n"/>
      <c r="BP135" s="35" t="n"/>
      <c r="BR135" s="36" t="n"/>
      <c r="BT135" s="35" t="n"/>
      <c r="BV135" s="35" t="n"/>
      <c r="BX135" s="35" t="n"/>
      <c r="BZ135" s="35" t="n"/>
      <c r="CB135" s="35" t="n"/>
      <c r="CD135" s="35" t="n"/>
      <c r="CF135" s="35" t="n"/>
      <c r="CH135" s="35" t="n"/>
      <c r="CJ135" s="35" t="n"/>
    </row>
    <row r="136">
      <c r="A136" s="31" t="n"/>
      <c r="B136" s="31" t="n"/>
      <c r="C136" s="37" t="inlineStr">
        <is>
          <t>5 Apr 2027 to 28 Nov 2027</t>
        </is>
      </c>
      <c r="D136" s="31" t="n"/>
      <c r="E136" s="31" t="n"/>
      <c r="F136" s="31" t="n"/>
      <c r="G136" s="31" t="n"/>
      <c r="H136" s="31" t="n"/>
      <c r="I136" s="31" t="n"/>
      <c r="J136" s="31" t="n"/>
      <c r="K136" s="31" t="n"/>
      <c r="L136" s="31" t="n"/>
      <c r="M136" s="31" t="n"/>
      <c r="N136" s="31" t="n"/>
      <c r="O136" s="31" t="n"/>
      <c r="P136" s="31" t="inlineStr">
        <is>
          <t>Dsgn</t>
        </is>
      </c>
      <c r="Q136" s="31" t="inlineStr"/>
      <c r="R136" s="38" t="n"/>
      <c r="T136" s="38" t="n"/>
      <c r="V136" s="38" t="n"/>
      <c r="X136" s="38" t="n"/>
      <c r="Z136" s="38" t="n"/>
      <c r="AB136" s="38" t="n"/>
      <c r="AD136" s="38" t="n"/>
      <c r="AF136" s="38" t="n"/>
      <c r="AH136" s="38" t="n"/>
      <c r="AJ136" s="38" t="n"/>
      <c r="AL136" s="38" t="n"/>
      <c r="AN136" s="38" t="n"/>
      <c r="AP136" s="38" t="n"/>
      <c r="AR136" s="38" t="n"/>
      <c r="AT136" s="38" t="n"/>
      <c r="AV136" s="38" t="n"/>
      <c r="AX136" s="38" t="n"/>
      <c r="AY136" s="52" t="inlineStr">
        <is>
          <t>Dsgn</t>
        </is>
      </c>
      <c r="AZ136" s="53" t="n"/>
      <c r="BB136" s="38" t="n"/>
      <c r="BD136" s="38" t="n"/>
      <c r="BF136" s="38" t="n"/>
      <c r="BH136" s="38" t="n"/>
      <c r="BJ136" s="38" t="n"/>
      <c r="BL136" s="38" t="n"/>
      <c r="BN136" s="38" t="n"/>
      <c r="BP136" s="38" t="n"/>
      <c r="BR136" s="39" t="n"/>
      <c r="BT136" s="38" t="n"/>
      <c r="BV136" s="38" t="n"/>
      <c r="BX136" s="38" t="n"/>
      <c r="BZ136" s="38" t="n"/>
      <c r="CB136" s="38" t="n"/>
      <c r="CD136" s="38" t="n"/>
      <c r="CF136" s="38" t="n"/>
      <c r="CH136" s="38" t="n"/>
      <c r="CJ136" s="38" t="n"/>
    </row>
    <row r="137">
      <c r="A137" s="31" t="n"/>
      <c r="B137" s="31" t="n"/>
      <c r="C137" s="40" t="inlineStr">
        <is>
          <t>BE L (4 FTE spr) · App M (2 FTE spr) · Design S</t>
        </is>
      </c>
      <c r="D137" s="31" t="n"/>
      <c r="E137" s="31" t="n"/>
      <c r="F137" s="31" t="n"/>
      <c r="G137" s="31" t="n"/>
      <c r="H137" s="31" t="n"/>
      <c r="I137" s="31" t="n"/>
      <c r="J137" s="31" t="n"/>
      <c r="K137" s="31" t="n"/>
      <c r="L137" s="31" t="n"/>
      <c r="M137" s="31" t="n"/>
      <c r="N137" s="31" t="n"/>
      <c r="O137" s="31" t="n"/>
      <c r="P137" s="31" t="inlineStr">
        <is>
          <t>TPM</t>
        </is>
      </c>
      <c r="Q137" s="31" t="inlineStr"/>
      <c r="R137" s="38" t="n"/>
      <c r="T137" s="38" t="n"/>
      <c r="V137" s="38" t="n"/>
      <c r="X137" s="38" t="n"/>
      <c r="Z137" s="38" t="n"/>
      <c r="AB137" s="38" t="n"/>
      <c r="AD137" s="38" t="n"/>
      <c r="AF137" s="38" t="n"/>
      <c r="AH137" s="38" t="n"/>
      <c r="AJ137" s="38" t="n"/>
      <c r="AL137" s="38" t="n"/>
      <c r="AN137" s="38" t="n"/>
      <c r="AP137" s="38" t="n"/>
      <c r="AR137" s="38" t="n"/>
      <c r="AT137" s="38" t="n"/>
      <c r="AV137" s="38" t="n"/>
      <c r="AX137" s="38" t="n"/>
      <c r="AZ137" s="38" t="n"/>
      <c r="BA137" s="45" t="inlineStr">
        <is>
          <t>TPM</t>
        </is>
      </c>
      <c r="BB137" s="56" t="n"/>
      <c r="BD137" s="38" t="n"/>
      <c r="BF137" s="38" t="n"/>
      <c r="BH137" s="38" t="n"/>
      <c r="BJ137" s="38" t="n"/>
      <c r="BL137" s="38" t="n"/>
      <c r="BN137" s="38" t="n"/>
      <c r="BP137" s="38" t="n"/>
      <c r="BR137" s="39" t="n"/>
      <c r="BT137" s="38" t="n"/>
      <c r="BV137" s="38" t="n"/>
      <c r="BX137" s="38" t="n"/>
      <c r="BZ137" s="38" t="n"/>
      <c r="CB137" s="38" t="n"/>
      <c r="CD137" s="38" t="n"/>
      <c r="CF137" s="38" t="n"/>
      <c r="CH137" s="38" t="n"/>
      <c r="CJ137" s="38" t="n"/>
    </row>
    <row r="138">
      <c r="A138" s="31" t="n"/>
      <c r="B138" s="31" t="n"/>
      <c r="C138" s="41">
        <f>HYPERLINK("https://app.asana.com/1/8556634603607/project/1215564565348002/task/1218156429240261","Asana task")</f>
        <v/>
      </c>
      <c r="D138" s="31" t="n"/>
      <c r="E138" s="31" t="n"/>
      <c r="F138" s="31" t="n"/>
      <c r="G138" s="31" t="n"/>
      <c r="H138" s="31" t="n"/>
      <c r="I138" s="31" t="n"/>
      <c r="J138" s="31" t="n"/>
      <c r="K138" s="31" t="n"/>
      <c r="L138" s="31" t="n"/>
      <c r="M138" s="31" t="n"/>
      <c r="N138" s="31" t="n"/>
      <c r="O138" s="31" t="n"/>
      <c r="P138" s="31" t="inlineStr">
        <is>
          <t>BE</t>
        </is>
      </c>
      <c r="Q138" s="31" t="n">
        <v>2</v>
      </c>
      <c r="R138" s="38" t="n"/>
      <c r="T138" s="38" t="n"/>
      <c r="V138" s="38" t="n"/>
      <c r="X138" s="38" t="n"/>
      <c r="Z138" s="38" t="n"/>
      <c r="AB138" s="38" t="n"/>
      <c r="AD138" s="38" t="n"/>
      <c r="AF138" s="38" t="n"/>
      <c r="AH138" s="38" t="n"/>
      <c r="AJ138" s="38" t="n"/>
      <c r="AL138" s="38" t="n"/>
      <c r="AN138" s="38" t="n"/>
      <c r="AP138" s="38" t="n"/>
      <c r="AR138" s="38" t="n"/>
      <c r="AT138" s="38" t="n"/>
      <c r="AV138" s="38" t="n"/>
      <c r="AX138" s="38" t="n"/>
      <c r="AZ138" s="38" t="n"/>
      <c r="BB138" s="38" t="n"/>
      <c r="BD138" s="38" t="n"/>
      <c r="BF138" s="38" t="n"/>
      <c r="BH138" s="38" t="n"/>
      <c r="BJ138" s="38" t="n"/>
      <c r="BL138" s="38" t="n"/>
      <c r="BN138" s="38" t="n"/>
      <c r="BP138" s="38" t="n"/>
      <c r="BR138" s="39" t="n"/>
      <c r="BT138" s="38" t="n"/>
      <c r="BU138" s="30" t="inlineStr">
        <is>
          <t>BE</t>
        </is>
      </c>
      <c r="BV138" s="46" t="n"/>
      <c r="BW138" s="14" t="n"/>
      <c r="BX138" s="46" t="n"/>
      <c r="BZ138" s="38" t="n"/>
      <c r="CB138" s="38" t="n"/>
      <c r="CD138" s="38" t="n"/>
      <c r="CF138" s="38" t="n"/>
      <c r="CH138" s="38" t="n"/>
      <c r="CJ138" s="38" t="n"/>
    </row>
    <row r="139">
      <c r="A139" s="31" t="n"/>
      <c r="B139" s="31" t="n"/>
      <c r="C139" s="31" t="n"/>
      <c r="D139" s="31" t="n"/>
      <c r="E139" s="31" t="n"/>
      <c r="F139" s="31" t="n"/>
      <c r="G139" s="31" t="n"/>
      <c r="H139" s="31" t="n"/>
      <c r="I139" s="31" t="n"/>
      <c r="J139" s="31" t="n"/>
      <c r="K139" s="31" t="n"/>
      <c r="L139" s="31" t="n"/>
      <c r="M139" s="31" t="n"/>
      <c r="N139" s="31" t="n"/>
      <c r="O139" s="31" t="n"/>
      <c r="P139" s="31" t="inlineStr">
        <is>
          <t>App</t>
        </is>
      </c>
      <c r="Q139" s="31" t="n">
        <v>1</v>
      </c>
      <c r="R139" s="38" t="n"/>
      <c r="T139" s="38" t="n"/>
      <c r="V139" s="38" t="n"/>
      <c r="X139" s="38" t="n"/>
      <c r="Z139" s="38" t="n"/>
      <c r="AB139" s="38" t="n"/>
      <c r="AD139" s="38" t="n"/>
      <c r="AF139" s="38" t="n"/>
      <c r="AH139" s="38" t="n"/>
      <c r="AJ139" s="38" t="n"/>
      <c r="AL139" s="38" t="n"/>
      <c r="AN139" s="38" t="n"/>
      <c r="AP139" s="38" t="n"/>
      <c r="AR139" s="38" t="n"/>
      <c r="AT139" s="38" t="n"/>
      <c r="AV139" s="38" t="n"/>
      <c r="AX139" s="38" t="n"/>
      <c r="AZ139" s="38" t="n"/>
      <c r="BB139" s="38" t="n"/>
      <c r="BD139" s="38" t="n"/>
      <c r="BF139" s="38" t="n"/>
      <c r="BH139" s="38" t="n"/>
      <c r="BJ139" s="38" t="n"/>
      <c r="BL139" s="38" t="n"/>
      <c r="BN139" s="38" t="n"/>
      <c r="BP139" s="38" t="n"/>
      <c r="BR139" s="39" t="n"/>
      <c r="BT139" s="38" t="n"/>
      <c r="BV139" s="38" t="n"/>
      <c r="BX139" s="38" t="n"/>
      <c r="BY139" s="32" t="inlineStr">
        <is>
          <t>App</t>
        </is>
      </c>
      <c r="BZ139" s="54" t="n"/>
      <c r="CA139" s="15" t="n"/>
      <c r="CB139" s="54" t="n"/>
      <c r="CD139" s="38" t="n"/>
      <c r="CF139" s="38" t="n"/>
      <c r="CH139" s="38" t="n"/>
      <c r="CJ139" s="38" t="n"/>
    </row>
    <row r="140">
      <c r="A140" s="31" t="n"/>
      <c r="B140" s="31" t="n"/>
      <c r="C140" s="31" t="n"/>
      <c r="D140" s="31" t="n"/>
      <c r="E140" s="31" t="n"/>
      <c r="F140" s="31" t="n"/>
      <c r="G140" s="31" t="n"/>
      <c r="H140" s="31" t="n"/>
      <c r="I140" s="31" t="n"/>
      <c r="J140" s="31" t="n"/>
      <c r="K140" s="31" t="n"/>
      <c r="L140" s="31" t="n"/>
      <c r="M140" s="31" t="n"/>
      <c r="N140" s="31" t="n"/>
      <c r="O140" s="31" t="n"/>
      <c r="P140" s="31" t="inlineStr">
        <is>
          <t>QA</t>
        </is>
      </c>
      <c r="Q140" s="31" t="inlineStr"/>
      <c r="R140" s="38" t="n"/>
      <c r="T140" s="38" t="n"/>
      <c r="V140" s="38" t="n"/>
      <c r="X140" s="38" t="n"/>
      <c r="Z140" s="38" t="n"/>
      <c r="AB140" s="38" t="n"/>
      <c r="AD140" s="38" t="n"/>
      <c r="AF140" s="38" t="n"/>
      <c r="AH140" s="38" t="n"/>
      <c r="AJ140" s="38" t="n"/>
      <c r="AL140" s="38" t="n"/>
      <c r="AN140" s="38" t="n"/>
      <c r="AP140" s="38" t="n"/>
      <c r="AR140" s="38" t="n"/>
      <c r="AT140" s="38" t="n"/>
      <c r="AV140" s="38" t="n"/>
      <c r="AX140" s="38" t="n"/>
      <c r="AZ140" s="38" t="n"/>
      <c r="BB140" s="38" t="n"/>
      <c r="BD140" s="38" t="n"/>
      <c r="BF140" s="38" t="n"/>
      <c r="BH140" s="38" t="n"/>
      <c r="BJ140" s="38" t="n"/>
      <c r="BL140" s="38" t="n"/>
      <c r="BN140" s="38" t="n"/>
      <c r="BP140" s="38" t="n"/>
      <c r="BR140" s="39" t="n"/>
      <c r="BT140" s="38" t="n"/>
      <c r="BV140" s="38" t="n"/>
      <c r="BX140" s="38" t="n"/>
      <c r="BZ140" s="38" t="n"/>
      <c r="CB140" s="38" t="n"/>
      <c r="CC140" s="33" t="inlineStr">
        <is>
          <t>QA</t>
        </is>
      </c>
      <c r="CD140" s="55" t="n"/>
      <c r="CF140" s="38" t="n"/>
      <c r="CH140" s="38" t="n"/>
      <c r="CJ140" s="38" t="n"/>
    </row>
    <row r="141">
      <c r="A141" s="28" t="inlineStr">
        <is>
          <t>Board Goal</t>
        </is>
      </c>
      <c r="B141" s="28" t="inlineStr">
        <is>
          <t>MTU</t>
        </is>
      </c>
      <c r="C141" s="34" t="inlineStr">
        <is>
          <t>#20 Support the IVA migration for MTU</t>
        </is>
      </c>
      <c r="D141" s="28" t="inlineStr">
        <is>
          <t>Medium</t>
        </is>
      </c>
      <c r="E141" s="28" t="inlineStr">
        <is>
          <t>Q4</t>
        </is>
      </c>
      <c r="F141" s="57" t="inlineStr">
        <is>
          <t>FY28 risk</t>
        </is>
      </c>
      <c r="G141" s="28" t="inlineStr">
        <is>
          <t>M</t>
        </is>
      </c>
      <c r="H141" s="28" t="inlineStr"/>
      <c r="I141" s="28" t="inlineStr"/>
      <c r="J141" s="28" t="inlineStr"/>
      <c r="K141" s="28" t="inlineStr"/>
      <c r="L141" s="28" t="inlineStr"/>
      <c r="M141" s="28" t="inlineStr"/>
      <c r="N141" s="28" t="inlineStr"/>
      <c r="O141" s="28" t="inlineStr"/>
      <c r="P141" s="28" t="inlineStr">
        <is>
          <t>PM</t>
        </is>
      </c>
      <c r="Q141" s="28" t="inlineStr"/>
      <c r="R141" s="35" t="n"/>
      <c r="T141" s="35" t="n"/>
      <c r="V141" s="35" t="n"/>
      <c r="X141" s="35" t="n"/>
      <c r="Z141" s="35" t="n"/>
      <c r="AB141" s="35" t="n"/>
      <c r="AD141" s="35" t="n"/>
      <c r="AF141" s="35" t="n"/>
      <c r="AH141" s="35" t="n"/>
      <c r="AJ141" s="35" t="n"/>
      <c r="AL141" s="35" t="n"/>
      <c r="AN141" s="35" t="n"/>
      <c r="AP141" s="35" t="n"/>
      <c r="AR141" s="35" t="n"/>
      <c r="AT141" s="35" t="n"/>
      <c r="AV141" s="35" t="n"/>
      <c r="AX141" s="35" t="n"/>
      <c r="AY141" s="50" t="inlineStr">
        <is>
          <t>PM</t>
        </is>
      </c>
      <c r="AZ141" s="51" t="n"/>
      <c r="BB141" s="35" t="n"/>
      <c r="BD141" s="35" t="n"/>
      <c r="BF141" s="35" t="n"/>
      <c r="BH141" s="35" t="n"/>
      <c r="BJ141" s="35" t="n"/>
      <c r="BL141" s="35" t="n"/>
      <c r="BN141" s="35" t="n"/>
      <c r="BP141" s="35" t="n"/>
      <c r="BR141" s="36" t="n"/>
      <c r="BT141" s="35" t="n"/>
      <c r="BV141" s="35" t="n"/>
      <c r="BX141" s="35" t="n"/>
      <c r="BZ141" s="35" t="n"/>
      <c r="CB141" s="35" t="n"/>
      <c r="CD141" s="35" t="n"/>
      <c r="CF141" s="35" t="n"/>
      <c r="CH141" s="35" t="n"/>
      <c r="CJ141" s="35" t="n"/>
    </row>
    <row r="142">
      <c r="A142" s="31" t="n"/>
      <c r="B142" s="31" t="n"/>
      <c r="C142" s="37" t="inlineStr">
        <is>
          <t>19 Apr 2027 to 28 Nov 2027</t>
        </is>
      </c>
      <c r="D142" s="31" t="n"/>
      <c r="E142" s="31" t="n"/>
      <c r="F142" s="31" t="n"/>
      <c r="G142" s="31" t="n"/>
      <c r="H142" s="31" t="n"/>
      <c r="I142" s="31" t="n"/>
      <c r="J142" s="31" t="n"/>
      <c r="K142" s="31" t="n"/>
      <c r="L142" s="31" t="n"/>
      <c r="M142" s="31" t="n"/>
      <c r="N142" s="31" t="n"/>
      <c r="O142" s="31" t="n"/>
      <c r="P142" s="31" t="inlineStr">
        <is>
          <t>Dsgn</t>
        </is>
      </c>
      <c r="Q142" s="31" t="n"/>
      <c r="R142" s="38" t="n"/>
      <c r="T142" s="38" t="n"/>
      <c r="V142" s="38" t="n"/>
      <c r="X142" s="38" t="n"/>
      <c r="Z142" s="38" t="n"/>
      <c r="AB142" s="38" t="n"/>
      <c r="AD142" s="38" t="n"/>
      <c r="AF142" s="38" t="n"/>
      <c r="AH142" s="38" t="n"/>
      <c r="AJ142" s="38" t="n"/>
      <c r="AL142" s="38" t="n"/>
      <c r="AN142" s="38" t="n"/>
      <c r="AP142" s="38" t="n"/>
      <c r="AR142" s="38" t="n"/>
      <c r="AT142" s="38" t="n"/>
      <c r="AV142" s="38" t="n"/>
      <c r="AX142" s="38" t="n"/>
      <c r="AZ142" s="38" t="n"/>
      <c r="BB142" s="38" t="n"/>
      <c r="BD142" s="38" t="n"/>
      <c r="BF142" s="38" t="n"/>
      <c r="BH142" s="38" t="n"/>
      <c r="BJ142" s="38" t="n"/>
      <c r="BL142" s="38" t="n"/>
      <c r="BN142" s="38" t="n"/>
      <c r="BP142" s="38" t="n"/>
      <c r="BR142" s="39" t="n"/>
      <c r="BT142" s="38" t="n"/>
      <c r="BV142" s="38" t="n"/>
      <c r="BX142" s="38" t="n"/>
      <c r="BZ142" s="38" t="n"/>
      <c r="CB142" s="38" t="n"/>
      <c r="CD142" s="38" t="n"/>
      <c r="CF142" s="38" t="n"/>
      <c r="CH142" s="38" t="n"/>
      <c r="CJ142" s="38" t="n"/>
    </row>
    <row r="143">
      <c r="A143" s="31" t="n"/>
      <c r="B143" s="31" t="n"/>
      <c r="C143" s="40" t="inlineStr">
        <is>
          <t>BE M (2 FTE spr) · App - (0 FTE spr) · Design -</t>
        </is>
      </c>
      <c r="D143" s="31" t="n"/>
      <c r="E143" s="31" t="n"/>
      <c r="F143" s="31" t="n"/>
      <c r="G143" s="31" t="n"/>
      <c r="H143" s="31" t="n"/>
      <c r="I143" s="31" t="n"/>
      <c r="J143" s="31" t="n"/>
      <c r="K143" s="31" t="n"/>
      <c r="L143" s="31" t="n"/>
      <c r="M143" s="31" t="n"/>
      <c r="N143" s="31" t="n"/>
      <c r="O143" s="31" t="n"/>
      <c r="P143" s="31" t="inlineStr">
        <is>
          <t>TPM</t>
        </is>
      </c>
      <c r="Q143" s="31" t="inlineStr"/>
      <c r="R143" s="38" t="n"/>
      <c r="T143" s="38" t="n"/>
      <c r="V143" s="38" t="n"/>
      <c r="X143" s="38" t="n"/>
      <c r="Z143" s="38" t="n"/>
      <c r="AB143" s="38" t="n"/>
      <c r="AD143" s="38" t="n"/>
      <c r="AF143" s="38" t="n"/>
      <c r="AH143" s="38" t="n"/>
      <c r="AJ143" s="38" t="n"/>
      <c r="AL143" s="38" t="n"/>
      <c r="AN143" s="38" t="n"/>
      <c r="AP143" s="38" t="n"/>
      <c r="AR143" s="38" t="n"/>
      <c r="AT143" s="38" t="n"/>
      <c r="AV143" s="38" t="n"/>
      <c r="AX143" s="38" t="n"/>
      <c r="AZ143" s="38" t="n"/>
      <c r="BB143" s="38" t="n"/>
      <c r="BC143" s="45" t="inlineStr">
        <is>
          <t>TPM</t>
        </is>
      </c>
      <c r="BD143" s="56" t="n"/>
      <c r="BF143" s="38" t="n"/>
      <c r="BH143" s="38" t="n"/>
      <c r="BJ143" s="38" t="n"/>
      <c r="BL143" s="38" t="n"/>
      <c r="BN143" s="38" t="n"/>
      <c r="BP143" s="38" t="n"/>
      <c r="BR143" s="39" t="n"/>
      <c r="BT143" s="38" t="n"/>
      <c r="BV143" s="38" t="n"/>
      <c r="BX143" s="38" t="n"/>
      <c r="BZ143" s="38" t="n"/>
      <c r="CB143" s="38" t="n"/>
      <c r="CD143" s="38" t="n"/>
      <c r="CF143" s="38" t="n"/>
      <c r="CH143" s="38" t="n"/>
      <c r="CJ143" s="38" t="n"/>
    </row>
    <row r="144">
      <c r="A144" s="31" t="n"/>
      <c r="B144" s="31" t="n"/>
      <c r="C144" s="41">
        <f>HYPERLINK("https://app.asana.com/1/8556634603607/project/1215564565348002/task/1218156225083574","Asana task")</f>
        <v/>
      </c>
      <c r="D144" s="31" t="n"/>
      <c r="E144" s="31" t="n"/>
      <c r="F144" s="31" t="n"/>
      <c r="G144" s="31" t="n"/>
      <c r="H144" s="31" t="n"/>
      <c r="I144" s="31" t="n"/>
      <c r="J144" s="31" t="n"/>
      <c r="K144" s="31" t="n"/>
      <c r="L144" s="31" t="n"/>
      <c r="M144" s="31" t="n"/>
      <c r="N144" s="31" t="n"/>
      <c r="O144" s="31" t="n"/>
      <c r="P144" s="31" t="inlineStr">
        <is>
          <t>BE</t>
        </is>
      </c>
      <c r="Q144" s="31" t="n">
        <v>1</v>
      </c>
      <c r="R144" s="38" t="n"/>
      <c r="T144" s="38" t="n"/>
      <c r="V144" s="38" t="n"/>
      <c r="X144" s="38" t="n"/>
      <c r="Z144" s="38" t="n"/>
      <c r="AB144" s="38" t="n"/>
      <c r="AD144" s="38" t="n"/>
      <c r="AF144" s="38" t="n"/>
      <c r="AH144" s="38" t="n"/>
      <c r="AJ144" s="38" t="n"/>
      <c r="AL144" s="38" t="n"/>
      <c r="AN144" s="38" t="n"/>
      <c r="AP144" s="38" t="n"/>
      <c r="AR144" s="38" t="n"/>
      <c r="AT144" s="38" t="n"/>
      <c r="AV144" s="38" t="n"/>
      <c r="AX144" s="38" t="n"/>
      <c r="AZ144" s="38" t="n"/>
      <c r="BB144" s="38" t="n"/>
      <c r="BD144" s="38" t="n"/>
      <c r="BF144" s="38" t="n"/>
      <c r="BH144" s="38" t="n"/>
      <c r="BJ144" s="38" t="n"/>
      <c r="BL144" s="38" t="n"/>
      <c r="BN144" s="38" t="n"/>
      <c r="BP144" s="38" t="n"/>
      <c r="BR144" s="39" t="n"/>
      <c r="BT144" s="38" t="n"/>
      <c r="BV144" s="38" t="n"/>
      <c r="BX144" s="38" t="n"/>
      <c r="BY144" s="30" t="inlineStr">
        <is>
          <t>BE</t>
        </is>
      </c>
      <c r="BZ144" s="46" t="n"/>
      <c r="CA144" s="14" t="n"/>
      <c r="CB144" s="46" t="n"/>
      <c r="CD144" s="38" t="n"/>
      <c r="CF144" s="38" t="n"/>
      <c r="CH144" s="38" t="n"/>
      <c r="CJ144" s="38" t="n"/>
    </row>
    <row r="145">
      <c r="A145" s="31" t="n"/>
      <c r="B145" s="31" t="n"/>
      <c r="C145" s="31" t="n"/>
      <c r="D145" s="31" t="n"/>
      <c r="E145" s="31" t="n"/>
      <c r="F145" s="31" t="n"/>
      <c r="G145" s="31" t="n"/>
      <c r="H145" s="31" t="n"/>
      <c r="I145" s="31" t="n"/>
      <c r="J145" s="31" t="n"/>
      <c r="K145" s="31" t="n"/>
      <c r="L145" s="31" t="n"/>
      <c r="M145" s="31" t="n"/>
      <c r="N145" s="31" t="n"/>
      <c r="O145" s="31" t="n"/>
      <c r="P145" s="31" t="inlineStr">
        <is>
          <t>App</t>
        </is>
      </c>
      <c r="Q145" s="31" t="n"/>
      <c r="R145" s="38" t="n"/>
      <c r="T145" s="38" t="n"/>
      <c r="V145" s="38" t="n"/>
      <c r="X145" s="38" t="n"/>
      <c r="Z145" s="38" t="n"/>
      <c r="AB145" s="38" t="n"/>
      <c r="AD145" s="38" t="n"/>
      <c r="AF145" s="38" t="n"/>
      <c r="AH145" s="38" t="n"/>
      <c r="AJ145" s="38" t="n"/>
      <c r="AL145" s="38" t="n"/>
      <c r="AN145" s="38" t="n"/>
      <c r="AP145" s="38" t="n"/>
      <c r="AR145" s="38" t="n"/>
      <c r="AT145" s="38" t="n"/>
      <c r="AV145" s="38" t="n"/>
      <c r="AX145" s="38" t="n"/>
      <c r="AZ145" s="38" t="n"/>
      <c r="BB145" s="38" t="n"/>
      <c r="BD145" s="38" t="n"/>
      <c r="BF145" s="38" t="n"/>
      <c r="BH145" s="38" t="n"/>
      <c r="BJ145" s="38" t="n"/>
      <c r="BL145" s="38" t="n"/>
      <c r="BN145" s="38" t="n"/>
      <c r="BP145" s="38" t="n"/>
      <c r="BR145" s="39" t="n"/>
      <c r="BT145" s="38" t="n"/>
      <c r="BV145" s="38" t="n"/>
      <c r="BX145" s="38" t="n"/>
      <c r="BZ145" s="38" t="n"/>
      <c r="CB145" s="38" t="n"/>
      <c r="CD145" s="38" t="n"/>
      <c r="CF145" s="38" t="n"/>
      <c r="CH145" s="38" t="n"/>
      <c r="CJ145" s="38" t="n"/>
    </row>
    <row r="146">
      <c r="A146" s="31" t="n"/>
      <c r="B146" s="31" t="n"/>
      <c r="C146" s="31" t="n"/>
      <c r="D146" s="31" t="n"/>
      <c r="E146" s="31" t="n"/>
      <c r="F146" s="31" t="n"/>
      <c r="G146" s="31" t="n"/>
      <c r="H146" s="31" t="n"/>
      <c r="I146" s="31" t="n"/>
      <c r="J146" s="31" t="n"/>
      <c r="K146" s="31" t="n"/>
      <c r="L146" s="31" t="n"/>
      <c r="M146" s="31" t="n"/>
      <c r="N146" s="31" t="n"/>
      <c r="O146" s="31" t="n"/>
      <c r="P146" s="31" t="inlineStr">
        <is>
          <t>QA</t>
        </is>
      </c>
      <c r="Q146" s="31" t="inlineStr"/>
      <c r="R146" s="38" t="n"/>
      <c r="T146" s="38" t="n"/>
      <c r="V146" s="38" t="n"/>
      <c r="X146" s="38" t="n"/>
      <c r="Z146" s="38" t="n"/>
      <c r="AB146" s="38" t="n"/>
      <c r="AD146" s="38" t="n"/>
      <c r="AF146" s="38" t="n"/>
      <c r="AH146" s="38" t="n"/>
      <c r="AJ146" s="38" t="n"/>
      <c r="AL146" s="38" t="n"/>
      <c r="AN146" s="38" t="n"/>
      <c r="AP146" s="38" t="n"/>
      <c r="AR146" s="38" t="n"/>
      <c r="AT146" s="38" t="n"/>
      <c r="AV146" s="38" t="n"/>
      <c r="AX146" s="38" t="n"/>
      <c r="AZ146" s="38" t="n"/>
      <c r="BB146" s="38" t="n"/>
      <c r="BD146" s="38" t="n"/>
      <c r="BF146" s="38" t="n"/>
      <c r="BH146" s="38" t="n"/>
      <c r="BJ146" s="38" t="n"/>
      <c r="BL146" s="38" t="n"/>
      <c r="BN146" s="38" t="n"/>
      <c r="BP146" s="38" t="n"/>
      <c r="BR146" s="39" t="n"/>
      <c r="BT146" s="38" t="n"/>
      <c r="BV146" s="38" t="n"/>
      <c r="BX146" s="38" t="n"/>
      <c r="BZ146" s="38" t="n"/>
      <c r="CB146" s="38" t="n"/>
      <c r="CC146" s="33" t="inlineStr">
        <is>
          <t>QA</t>
        </is>
      </c>
      <c r="CD146" s="55" t="n"/>
      <c r="CF146" s="38" t="n"/>
      <c r="CH146" s="38" t="n"/>
      <c r="CJ146" s="38" t="n"/>
    </row>
    <row r="147">
      <c r="A147" s="28" t="inlineStr">
        <is>
          <t>Business Goal</t>
        </is>
      </c>
      <c r="B147" s="28" t="inlineStr">
        <is>
          <t>All Products</t>
        </is>
      </c>
      <c r="C147" s="34" t="inlineStr">
        <is>
          <t>#21 MTU gamification</t>
        </is>
      </c>
      <c r="D147" s="28" t="inlineStr">
        <is>
          <t>Medium</t>
        </is>
      </c>
      <c r="E147" s="28" t="inlineStr">
        <is>
          <t>Q4</t>
        </is>
      </c>
      <c r="F147" s="57" t="inlineStr">
        <is>
          <t>FY28 risk</t>
        </is>
      </c>
      <c r="G147" s="28" t="inlineStr">
        <is>
          <t>L</t>
        </is>
      </c>
      <c r="H147" s="28" t="inlineStr"/>
      <c r="I147" s="28" t="inlineStr"/>
      <c r="J147" s="28" t="inlineStr"/>
      <c r="K147" s="28" t="inlineStr"/>
      <c r="L147" s="28" t="inlineStr"/>
      <c r="M147" s="28" t="inlineStr"/>
      <c r="N147" s="28" t="inlineStr"/>
      <c r="O147" s="28" t="inlineStr"/>
      <c r="P147" s="28" t="inlineStr">
        <is>
          <t>PM</t>
        </is>
      </c>
      <c r="Q147" s="28" t="inlineStr"/>
      <c r="R147" s="35" t="n"/>
      <c r="T147" s="35" t="n"/>
      <c r="V147" s="35" t="n"/>
      <c r="X147" s="35" t="n"/>
      <c r="Z147" s="35" t="n"/>
      <c r="AB147" s="35" t="n"/>
      <c r="AD147" s="35" t="n"/>
      <c r="AF147" s="35" t="n"/>
      <c r="AH147" s="35" t="n"/>
      <c r="AJ147" s="35" t="n"/>
      <c r="AL147" s="35" t="n"/>
      <c r="AN147" s="35" t="n"/>
      <c r="AP147" s="35" t="n"/>
      <c r="AR147" s="35" t="n"/>
      <c r="AT147" s="35" t="n"/>
      <c r="AV147" s="35" t="n"/>
      <c r="AX147" s="35" t="n"/>
      <c r="AZ147" s="44" t="inlineStr">
        <is>
          <t>PM</t>
        </is>
      </c>
      <c r="BA147" s="11" t="n"/>
      <c r="BB147" s="51" t="n"/>
      <c r="BD147" s="35" t="n"/>
      <c r="BF147" s="35" t="n"/>
      <c r="BH147" s="35" t="n"/>
      <c r="BJ147" s="35" t="n"/>
      <c r="BL147" s="35" t="n"/>
      <c r="BN147" s="35" t="n"/>
      <c r="BP147" s="35" t="n"/>
      <c r="BR147" s="36" t="n"/>
      <c r="BT147" s="35" t="n"/>
      <c r="BV147" s="35" t="n"/>
      <c r="BX147" s="35" t="n"/>
      <c r="BZ147" s="35" t="n"/>
      <c r="CB147" s="35" t="n"/>
      <c r="CD147" s="35" t="n"/>
      <c r="CF147" s="35" t="n"/>
      <c r="CH147" s="35" t="n"/>
      <c r="CJ147" s="35" t="n"/>
    </row>
    <row r="148">
      <c r="A148" s="31" t="n"/>
      <c r="B148" s="31" t="n"/>
      <c r="C148" s="37" t="inlineStr">
        <is>
          <t>26 Apr 2027 to 26 Dec 2027</t>
        </is>
      </c>
      <c r="D148" s="31" t="n"/>
      <c r="E148" s="31" t="n"/>
      <c r="F148" s="31" t="n"/>
      <c r="G148" s="31" t="n"/>
      <c r="H148" s="31" t="n"/>
      <c r="I148" s="31" t="n"/>
      <c r="J148" s="31" t="n"/>
      <c r="K148" s="31" t="n"/>
      <c r="L148" s="31" t="n"/>
      <c r="M148" s="31" t="n"/>
      <c r="N148" s="31" t="n"/>
      <c r="O148" s="31" t="n"/>
      <c r="P148" s="31" t="inlineStr">
        <is>
          <t>Dsgn</t>
        </is>
      </c>
      <c r="Q148" s="31" t="inlineStr"/>
      <c r="R148" s="38" t="n"/>
      <c r="T148" s="38" t="n"/>
      <c r="V148" s="38" t="n"/>
      <c r="X148" s="38" t="n"/>
      <c r="Z148" s="38" t="n"/>
      <c r="AB148" s="38" t="n"/>
      <c r="AD148" s="38" t="n"/>
      <c r="AF148" s="38" t="n"/>
      <c r="AH148" s="38" t="n"/>
      <c r="AJ148" s="38" t="n"/>
      <c r="AL148" s="38" t="n"/>
      <c r="AN148" s="38" t="n"/>
      <c r="AP148" s="38" t="n"/>
      <c r="AR148" s="38" t="n"/>
      <c r="AT148" s="38" t="n"/>
      <c r="AV148" s="38" t="n"/>
      <c r="AX148" s="38" t="n"/>
      <c r="AZ148" s="38" t="n"/>
      <c r="BB148" s="38" t="n"/>
      <c r="BC148" s="52" t="inlineStr">
        <is>
          <t>Dsgn</t>
        </is>
      </c>
      <c r="BD148" s="53" t="n"/>
      <c r="BE148" s="12" t="n"/>
      <c r="BF148" s="53" t="n"/>
      <c r="BH148" s="38" t="n"/>
      <c r="BJ148" s="38" t="n"/>
      <c r="BL148" s="38" t="n"/>
      <c r="BN148" s="38" t="n"/>
      <c r="BP148" s="38" t="n"/>
      <c r="BR148" s="39" t="n"/>
      <c r="BT148" s="38" t="n"/>
      <c r="BV148" s="38" t="n"/>
      <c r="BX148" s="38" t="n"/>
      <c r="BZ148" s="38" t="n"/>
      <c r="CB148" s="38" t="n"/>
      <c r="CD148" s="38" t="n"/>
      <c r="CF148" s="38" t="n"/>
      <c r="CH148" s="38" t="n"/>
      <c r="CJ148" s="38" t="n"/>
    </row>
    <row r="149">
      <c r="A149" s="31" t="n"/>
      <c r="B149" s="31" t="n"/>
      <c r="C149" s="40" t="inlineStr">
        <is>
          <t>BE M (2 FTE spr) · App L (4 FTE spr) · Design L</t>
        </is>
      </c>
      <c r="D149" s="31" t="n"/>
      <c r="E149" s="31" t="n"/>
      <c r="F149" s="31" t="n"/>
      <c r="G149" s="31" t="n"/>
      <c r="H149" s="31" t="n"/>
      <c r="I149" s="31" t="n"/>
      <c r="J149" s="31" t="n"/>
      <c r="K149" s="31" t="n"/>
      <c r="L149" s="31" t="n"/>
      <c r="M149" s="31" t="n"/>
      <c r="N149" s="31" t="n"/>
      <c r="O149" s="31" t="n"/>
      <c r="P149" s="31" t="inlineStr">
        <is>
          <t>TPM</t>
        </is>
      </c>
      <c r="Q149" s="31" t="inlineStr"/>
      <c r="R149" s="38" t="n"/>
      <c r="T149" s="38" t="n"/>
      <c r="V149" s="38" t="n"/>
      <c r="X149" s="38" t="n"/>
      <c r="Z149" s="38" t="n"/>
      <c r="AB149" s="38" t="n"/>
      <c r="AD149" s="38" t="n"/>
      <c r="AF149" s="38" t="n"/>
      <c r="AH149" s="38" t="n"/>
      <c r="AJ149" s="38" t="n"/>
      <c r="AL149" s="38" t="n"/>
      <c r="AN149" s="38" t="n"/>
      <c r="AP149" s="38" t="n"/>
      <c r="AR149" s="38" t="n"/>
      <c r="AT149" s="38" t="n"/>
      <c r="AV149" s="38" t="n"/>
      <c r="AX149" s="38" t="n"/>
      <c r="AZ149" s="38" t="n"/>
      <c r="BB149" s="38" t="n"/>
      <c r="BD149" s="38" t="n"/>
      <c r="BF149" s="38" t="n"/>
      <c r="BG149" s="45" t="inlineStr">
        <is>
          <t>TPM</t>
        </is>
      </c>
      <c r="BH149" s="56" t="n"/>
      <c r="BJ149" s="38" t="n"/>
      <c r="BL149" s="38" t="n"/>
      <c r="BN149" s="38" t="n"/>
      <c r="BP149" s="38" t="n"/>
      <c r="BR149" s="39" t="n"/>
      <c r="BT149" s="38" t="n"/>
      <c r="BV149" s="38" t="n"/>
      <c r="BX149" s="38" t="n"/>
      <c r="BZ149" s="38" t="n"/>
      <c r="CB149" s="38" t="n"/>
      <c r="CD149" s="38" t="n"/>
      <c r="CF149" s="38" t="n"/>
      <c r="CH149" s="38" t="n"/>
      <c r="CJ149" s="38" t="n"/>
    </row>
    <row r="150">
      <c r="A150" s="31" t="n"/>
      <c r="B150" s="31" t="n"/>
      <c r="C150" s="41">
        <f>HYPERLINK("https://app.asana.com/1/8556634603607/project/1215564565348002/task/1215836632250433","Asana task")</f>
        <v/>
      </c>
      <c r="D150" s="31" t="n"/>
      <c r="E150" s="31" t="n"/>
      <c r="F150" s="31" t="n"/>
      <c r="G150" s="31" t="n"/>
      <c r="H150" s="31" t="n"/>
      <c r="I150" s="31" t="n"/>
      <c r="J150" s="31" t="n"/>
      <c r="K150" s="31" t="n"/>
      <c r="L150" s="31" t="n"/>
      <c r="M150" s="31" t="n"/>
      <c r="N150" s="31" t="n"/>
      <c r="O150" s="31" t="n"/>
      <c r="P150" s="31" t="inlineStr">
        <is>
          <t>BE</t>
        </is>
      </c>
      <c r="Q150" s="31" t="n">
        <v>1</v>
      </c>
      <c r="R150" s="38" t="n"/>
      <c r="T150" s="38" t="n"/>
      <c r="V150" s="38" t="n"/>
      <c r="X150" s="38" t="n"/>
      <c r="Z150" s="38" t="n"/>
      <c r="AB150" s="38" t="n"/>
      <c r="AD150" s="38" t="n"/>
      <c r="AF150" s="38" t="n"/>
      <c r="AH150" s="38" t="n"/>
      <c r="AJ150" s="38" t="n"/>
      <c r="AL150" s="38" t="n"/>
      <c r="AN150" s="38" t="n"/>
      <c r="AP150" s="38" t="n"/>
      <c r="AR150" s="38" t="n"/>
      <c r="AT150" s="38" t="n"/>
      <c r="AV150" s="38" t="n"/>
      <c r="AX150" s="38" t="n"/>
      <c r="AZ150" s="38" t="n"/>
      <c r="BB150" s="38" t="n"/>
      <c r="BD150" s="38" t="n"/>
      <c r="BF150" s="38" t="n"/>
      <c r="BH150" s="38" t="n"/>
      <c r="BJ150" s="38" t="n"/>
      <c r="BL150" s="38" t="n"/>
      <c r="BN150" s="38" t="n"/>
      <c r="BP150" s="38" t="n"/>
      <c r="BR150" s="39" t="n"/>
      <c r="BT150" s="38" t="n"/>
      <c r="BV150" s="38" t="n"/>
      <c r="BX150" s="38" t="n"/>
      <c r="BY150" s="30" t="inlineStr">
        <is>
          <t>BE</t>
        </is>
      </c>
      <c r="BZ150" s="46" t="n"/>
      <c r="CA150" s="14" t="n"/>
      <c r="CB150" s="46" t="n"/>
      <c r="CD150" s="38" t="n"/>
      <c r="CF150" s="38" t="n"/>
      <c r="CH150" s="38" t="n"/>
      <c r="CJ150" s="38" t="n"/>
    </row>
    <row r="151">
      <c r="A151" s="31" t="n"/>
      <c r="B151" s="31" t="n"/>
      <c r="C151" s="31" t="n"/>
      <c r="D151" s="31" t="n"/>
      <c r="E151" s="31" t="n"/>
      <c r="F151" s="31" t="n"/>
      <c r="G151" s="31" t="n"/>
      <c r="H151" s="31" t="n"/>
      <c r="I151" s="31" t="n"/>
      <c r="J151" s="31" t="n"/>
      <c r="K151" s="31" t="n"/>
      <c r="L151" s="31" t="n"/>
      <c r="M151" s="31" t="n"/>
      <c r="N151" s="31" t="n"/>
      <c r="O151" s="31" t="n"/>
      <c r="P151" s="31" t="inlineStr">
        <is>
          <t>App</t>
        </is>
      </c>
      <c r="Q151" s="31" t="n">
        <v>2</v>
      </c>
      <c r="R151" s="38" t="n"/>
      <c r="T151" s="38" t="n"/>
      <c r="V151" s="38" t="n"/>
      <c r="X151" s="38" t="n"/>
      <c r="Z151" s="38" t="n"/>
      <c r="AB151" s="38" t="n"/>
      <c r="AD151" s="38" t="n"/>
      <c r="AF151" s="38" t="n"/>
      <c r="AH151" s="38" t="n"/>
      <c r="AJ151" s="38" t="n"/>
      <c r="AL151" s="38" t="n"/>
      <c r="AN151" s="38" t="n"/>
      <c r="AP151" s="38" t="n"/>
      <c r="AR151" s="38" t="n"/>
      <c r="AT151" s="38" t="n"/>
      <c r="AV151" s="38" t="n"/>
      <c r="AX151" s="38" t="n"/>
      <c r="AZ151" s="38" t="n"/>
      <c r="BB151" s="38" t="n"/>
      <c r="BD151" s="38" t="n"/>
      <c r="BF151" s="38" t="n"/>
      <c r="BH151" s="38" t="n"/>
      <c r="BJ151" s="38" t="n"/>
      <c r="BL151" s="38" t="n"/>
      <c r="BN151" s="38" t="n"/>
      <c r="BP151" s="38" t="n"/>
      <c r="BR151" s="39" t="n"/>
      <c r="BT151" s="38" t="n"/>
      <c r="BV151" s="38" t="n"/>
      <c r="BX151" s="38" t="n"/>
      <c r="BZ151" s="38" t="n"/>
      <c r="CB151" s="38" t="n"/>
      <c r="CC151" s="32" t="inlineStr">
        <is>
          <t>App</t>
        </is>
      </c>
      <c r="CD151" s="54" t="n"/>
      <c r="CE151" s="15" t="n"/>
      <c r="CF151" s="54" t="n"/>
      <c r="CH151" s="38" t="n"/>
      <c r="CJ151" s="38" t="n"/>
    </row>
    <row r="152">
      <c r="A152" s="31" t="n"/>
      <c r="B152" s="31" t="n"/>
      <c r="C152" s="31" t="n"/>
      <c r="D152" s="31" t="n"/>
      <c r="E152" s="31" t="n"/>
      <c r="F152" s="31" t="n"/>
      <c r="G152" s="31" t="n"/>
      <c r="H152" s="31" t="n"/>
      <c r="I152" s="31" t="n"/>
      <c r="J152" s="31" t="n"/>
      <c r="K152" s="31" t="n"/>
      <c r="L152" s="31" t="n"/>
      <c r="M152" s="31" t="n"/>
      <c r="N152" s="31" t="n"/>
      <c r="O152" s="31" t="n"/>
      <c r="P152" s="31" t="inlineStr">
        <is>
          <t>QA</t>
        </is>
      </c>
      <c r="Q152" s="31" t="inlineStr"/>
      <c r="R152" s="38" t="n"/>
      <c r="T152" s="38" t="n"/>
      <c r="V152" s="38" t="n"/>
      <c r="X152" s="38" t="n"/>
      <c r="Z152" s="38" t="n"/>
      <c r="AB152" s="38" t="n"/>
      <c r="AD152" s="38" t="n"/>
      <c r="AF152" s="38" t="n"/>
      <c r="AH152" s="38" t="n"/>
      <c r="AJ152" s="38" t="n"/>
      <c r="AL152" s="38" t="n"/>
      <c r="AN152" s="38" t="n"/>
      <c r="AP152" s="38" t="n"/>
      <c r="AR152" s="38" t="n"/>
      <c r="AT152" s="38" t="n"/>
      <c r="AV152" s="38" t="n"/>
      <c r="AX152" s="38" t="n"/>
      <c r="AZ152" s="38" t="n"/>
      <c r="BB152" s="38" t="n"/>
      <c r="BD152" s="38" t="n"/>
      <c r="BF152" s="38" t="n"/>
      <c r="BH152" s="38" t="n"/>
      <c r="BJ152" s="38" t="n"/>
      <c r="BL152" s="38" t="n"/>
      <c r="BN152" s="38" t="n"/>
      <c r="BP152" s="38" t="n"/>
      <c r="BR152" s="39" t="n"/>
      <c r="BT152" s="38" t="n"/>
      <c r="BV152" s="38" t="n"/>
      <c r="BX152" s="38" t="n"/>
      <c r="BZ152" s="38" t="n"/>
      <c r="CB152" s="38" t="n"/>
      <c r="CD152" s="38" t="n"/>
      <c r="CF152" s="38" t="n"/>
      <c r="CG152" s="33" t="inlineStr">
        <is>
          <t>QA</t>
        </is>
      </c>
      <c r="CH152" s="55" t="n"/>
      <c r="CJ152" s="38" t="n"/>
    </row>
    <row r="153">
      <c r="A153" s="28" t="inlineStr">
        <is>
          <t>Business Goal</t>
        </is>
      </c>
      <c r="B153" s="28" t="inlineStr">
        <is>
          <t>MTU</t>
        </is>
      </c>
      <c r="C153" s="34" t="inlineStr">
        <is>
          <t>#22 Introduce crypto payment checkout</t>
        </is>
      </c>
      <c r="D153" s="28" t="inlineStr">
        <is>
          <t>Low</t>
        </is>
      </c>
      <c r="E153" s="28" t="inlineStr">
        <is>
          <t>Q4</t>
        </is>
      </c>
      <c r="F153" s="57" t="inlineStr">
        <is>
          <t>FY28 risk</t>
        </is>
      </c>
      <c r="G153" s="28" t="inlineStr">
        <is>
          <t>M</t>
        </is>
      </c>
      <c r="H153" s="28" t="inlineStr"/>
      <c r="I153" s="28" t="inlineStr"/>
      <c r="J153" s="28" t="inlineStr"/>
      <c r="K153" s="28" t="inlineStr"/>
      <c r="L153" s="28" t="inlineStr"/>
      <c r="M153" s="28" t="inlineStr"/>
      <c r="N153" s="28" t="inlineStr"/>
      <c r="O153" s="28" t="inlineStr"/>
      <c r="P153" s="28" t="inlineStr">
        <is>
          <t>PM</t>
        </is>
      </c>
      <c r="Q153" s="28" t="inlineStr"/>
      <c r="R153" s="35" t="n"/>
      <c r="T153" s="35" t="n"/>
      <c r="V153" s="35" t="n"/>
      <c r="X153" s="35" t="n"/>
      <c r="Z153" s="35" t="n"/>
      <c r="AB153" s="35" t="n"/>
      <c r="AD153" s="35" t="n"/>
      <c r="AF153" s="35" t="n"/>
      <c r="AH153" s="35" t="n"/>
      <c r="AJ153" s="35" t="n"/>
      <c r="AL153" s="35" t="n"/>
      <c r="AN153" s="35" t="n"/>
      <c r="AP153" s="35" t="n"/>
      <c r="AR153" s="35" t="n"/>
      <c r="AT153" s="35" t="n"/>
      <c r="AV153" s="35" t="n"/>
      <c r="AX153" s="35" t="n"/>
      <c r="AZ153" s="35" t="n"/>
      <c r="BA153" s="50" t="inlineStr">
        <is>
          <t>PM</t>
        </is>
      </c>
      <c r="BB153" s="51" t="n"/>
      <c r="BD153" s="35" t="n"/>
      <c r="BF153" s="35" t="n"/>
      <c r="BH153" s="35" t="n"/>
      <c r="BJ153" s="35" t="n"/>
      <c r="BL153" s="35" t="n"/>
      <c r="BN153" s="35" t="n"/>
      <c r="BP153" s="35" t="n"/>
      <c r="BR153" s="36" t="n"/>
      <c r="BT153" s="35" t="n"/>
      <c r="BV153" s="35" t="n"/>
      <c r="BX153" s="35" t="n"/>
      <c r="BZ153" s="35" t="n"/>
      <c r="CB153" s="35" t="n"/>
      <c r="CD153" s="35" t="n"/>
      <c r="CF153" s="35" t="n"/>
      <c r="CH153" s="35" t="n"/>
      <c r="CJ153" s="35" t="n"/>
    </row>
    <row r="154">
      <c r="A154" s="31" t="n"/>
      <c r="B154" s="31" t="n"/>
      <c r="C154" s="37" t="inlineStr">
        <is>
          <t>3 May 2027 to 9 Jan 2028</t>
        </is>
      </c>
      <c r="D154" s="31" t="n"/>
      <c r="E154" s="31" t="n"/>
      <c r="F154" s="31" t="n"/>
      <c r="G154" s="31" t="n"/>
      <c r="H154" s="31" t="n"/>
      <c r="I154" s="31" t="n"/>
      <c r="J154" s="31" t="n"/>
      <c r="K154" s="31" t="n"/>
      <c r="L154" s="31" t="n"/>
      <c r="M154" s="31" t="n"/>
      <c r="N154" s="31" t="n"/>
      <c r="O154" s="31" t="n"/>
      <c r="P154" s="31" t="inlineStr">
        <is>
          <t>Dsgn</t>
        </is>
      </c>
      <c r="Q154" s="31" t="inlineStr"/>
      <c r="R154" s="38" t="n"/>
      <c r="T154" s="38" t="n"/>
      <c r="V154" s="38" t="n"/>
      <c r="X154" s="38" t="n"/>
      <c r="Z154" s="38" t="n"/>
      <c r="AB154" s="38" t="n"/>
      <c r="AD154" s="38" t="n"/>
      <c r="AF154" s="38" t="n"/>
      <c r="AH154" s="38" t="n"/>
      <c r="AJ154" s="38" t="n"/>
      <c r="AL154" s="38" t="n"/>
      <c r="AN154" s="38" t="n"/>
      <c r="AP154" s="38" t="n"/>
      <c r="AR154" s="38" t="n"/>
      <c r="AT154" s="38" t="n"/>
      <c r="AV154" s="38" t="n"/>
      <c r="AX154" s="38" t="n"/>
      <c r="AZ154" s="38" t="n"/>
      <c r="BB154" s="38" t="n"/>
      <c r="BC154" s="52" t="inlineStr">
        <is>
          <t>Dsgn</t>
        </is>
      </c>
      <c r="BD154" s="53" t="n"/>
      <c r="BF154" s="38" t="n"/>
      <c r="BH154" s="38" t="n"/>
      <c r="BJ154" s="38" t="n"/>
      <c r="BL154" s="38" t="n"/>
      <c r="BN154" s="38" t="n"/>
      <c r="BP154" s="38" t="n"/>
      <c r="BR154" s="39" t="n"/>
      <c r="BT154" s="38" t="n"/>
      <c r="BV154" s="38" t="n"/>
      <c r="BX154" s="38" t="n"/>
      <c r="BZ154" s="38" t="n"/>
      <c r="CB154" s="38" t="n"/>
      <c r="CD154" s="38" t="n"/>
      <c r="CF154" s="38" t="n"/>
      <c r="CH154" s="38" t="n"/>
      <c r="CJ154" s="38" t="n"/>
    </row>
    <row r="155">
      <c r="A155" s="31" t="n"/>
      <c r="B155" s="31" t="n"/>
      <c r="C155" s="40" t="inlineStr">
        <is>
          <t>BE M (2 FTE spr) · App S (1 FTE spr) · Design S</t>
        </is>
      </c>
      <c r="D155" s="31" t="n"/>
      <c r="E155" s="31" t="n"/>
      <c r="F155" s="31" t="n"/>
      <c r="G155" s="31" t="n"/>
      <c r="H155" s="31" t="n"/>
      <c r="I155" s="31" t="n"/>
      <c r="J155" s="31" t="n"/>
      <c r="K155" s="31" t="n"/>
      <c r="L155" s="31" t="n"/>
      <c r="M155" s="31" t="n"/>
      <c r="N155" s="31" t="n"/>
      <c r="O155" s="31" t="n"/>
      <c r="P155" s="31" t="inlineStr">
        <is>
          <t>TPM</t>
        </is>
      </c>
      <c r="Q155" s="31" t="inlineStr"/>
      <c r="R155" s="38" t="n"/>
      <c r="T155" s="38" t="n"/>
      <c r="V155" s="38" t="n"/>
      <c r="X155" s="38" t="n"/>
      <c r="Z155" s="38" t="n"/>
      <c r="AB155" s="38" t="n"/>
      <c r="AD155" s="38" t="n"/>
      <c r="AF155" s="38" t="n"/>
      <c r="AH155" s="38" t="n"/>
      <c r="AJ155" s="38" t="n"/>
      <c r="AL155" s="38" t="n"/>
      <c r="AN155" s="38" t="n"/>
      <c r="AP155" s="38" t="n"/>
      <c r="AR155" s="38" t="n"/>
      <c r="AT155" s="38" t="n"/>
      <c r="AV155" s="38" t="n"/>
      <c r="AX155" s="38" t="n"/>
      <c r="AZ155" s="38" t="n"/>
      <c r="BB155" s="38" t="n"/>
      <c r="BD155" s="38" t="n"/>
      <c r="BE155" s="45" t="inlineStr">
        <is>
          <t>TPM</t>
        </is>
      </c>
      <c r="BF155" s="38" t="n"/>
      <c r="BH155" s="38" t="n"/>
      <c r="BJ155" s="38" t="n"/>
      <c r="BL155" s="38" t="n"/>
      <c r="BN155" s="38" t="n"/>
      <c r="BP155" s="38" t="n"/>
      <c r="BR155" s="39" t="n"/>
      <c r="BT155" s="38" t="n"/>
      <c r="BV155" s="38" t="n"/>
      <c r="BX155" s="38" t="n"/>
      <c r="BZ155" s="38" t="n"/>
      <c r="CB155" s="38" t="n"/>
      <c r="CD155" s="38" t="n"/>
      <c r="CF155" s="38" t="n"/>
      <c r="CH155" s="38" t="n"/>
      <c r="CJ155" s="38" t="n"/>
    </row>
    <row r="156">
      <c r="A156" s="31" t="n"/>
      <c r="B156" s="31" t="n"/>
      <c r="C156" s="41">
        <f>HYPERLINK("https://app.asana.com/1/8556634603607/project/1215564565348002/task/1215922468293585","Asana task")</f>
        <v/>
      </c>
      <c r="D156" s="31" t="n"/>
      <c r="E156" s="31" t="n"/>
      <c r="F156" s="31" t="n"/>
      <c r="G156" s="31" t="n"/>
      <c r="H156" s="31" t="n"/>
      <c r="I156" s="31" t="n"/>
      <c r="J156" s="31" t="n"/>
      <c r="K156" s="31" t="n"/>
      <c r="L156" s="31" t="n"/>
      <c r="M156" s="31" t="n"/>
      <c r="N156" s="31" t="n"/>
      <c r="O156" s="31" t="n"/>
      <c r="P156" s="31" t="inlineStr">
        <is>
          <t>BE</t>
        </is>
      </c>
      <c r="Q156" s="31" t="n">
        <v>1</v>
      </c>
      <c r="R156" s="38" t="n"/>
      <c r="T156" s="38" t="n"/>
      <c r="V156" s="38" t="n"/>
      <c r="X156" s="38" t="n"/>
      <c r="Z156" s="38" t="n"/>
      <c r="AB156" s="38" t="n"/>
      <c r="AD156" s="38" t="n"/>
      <c r="AF156" s="38" t="n"/>
      <c r="AH156" s="38" t="n"/>
      <c r="AJ156" s="38" t="n"/>
      <c r="AL156" s="38" t="n"/>
      <c r="AN156" s="38" t="n"/>
      <c r="AP156" s="38" t="n"/>
      <c r="AR156" s="38" t="n"/>
      <c r="AT156" s="38" t="n"/>
      <c r="AV156" s="38" t="n"/>
      <c r="AX156" s="38" t="n"/>
      <c r="AZ156" s="38" t="n"/>
      <c r="BB156" s="38" t="n"/>
      <c r="BD156" s="38" t="n"/>
      <c r="BF156" s="38" t="n"/>
      <c r="BH156" s="38" t="n"/>
      <c r="BJ156" s="38" t="n"/>
      <c r="BL156" s="38" t="n"/>
      <c r="BN156" s="38" t="n"/>
      <c r="BP156" s="38" t="n"/>
      <c r="BR156" s="39" t="n"/>
      <c r="BT156" s="38" t="n"/>
      <c r="BV156" s="38" t="n"/>
      <c r="BX156" s="38" t="n"/>
      <c r="BZ156" s="38" t="n"/>
      <c r="CB156" s="38" t="n"/>
      <c r="CC156" s="30" t="inlineStr">
        <is>
          <t>BE</t>
        </is>
      </c>
      <c r="CD156" s="46" t="n"/>
      <c r="CE156" s="14" t="n"/>
      <c r="CF156" s="46" t="n"/>
      <c r="CH156" s="38" t="n"/>
      <c r="CJ156" s="38" t="n"/>
    </row>
    <row r="157">
      <c r="A157" s="31" t="n"/>
      <c r="B157" s="31" t="n"/>
      <c r="C157" s="31" t="n"/>
      <c r="D157" s="31" t="n"/>
      <c r="E157" s="31" t="n"/>
      <c r="F157" s="31" t="n"/>
      <c r="G157" s="31" t="n"/>
      <c r="H157" s="31" t="n"/>
      <c r="I157" s="31" t="n"/>
      <c r="J157" s="31" t="n"/>
      <c r="K157" s="31" t="n"/>
      <c r="L157" s="31" t="n"/>
      <c r="M157" s="31" t="n"/>
      <c r="N157" s="31" t="n"/>
      <c r="O157" s="31" t="n"/>
      <c r="P157" s="31" t="inlineStr">
        <is>
          <t>App</t>
        </is>
      </c>
      <c r="Q157" s="31" t="n">
        <v>1</v>
      </c>
      <c r="R157" s="38" t="n"/>
      <c r="T157" s="38" t="n"/>
      <c r="V157" s="38" t="n"/>
      <c r="X157" s="38" t="n"/>
      <c r="Z157" s="38" t="n"/>
      <c r="AB157" s="38" t="n"/>
      <c r="AD157" s="38" t="n"/>
      <c r="AF157" s="38" t="n"/>
      <c r="AH157" s="38" t="n"/>
      <c r="AJ157" s="38" t="n"/>
      <c r="AL157" s="38" t="n"/>
      <c r="AN157" s="38" t="n"/>
      <c r="AP157" s="38" t="n"/>
      <c r="AR157" s="38" t="n"/>
      <c r="AT157" s="38" t="n"/>
      <c r="AV157" s="38" t="n"/>
      <c r="AX157" s="38" t="n"/>
      <c r="AZ157" s="38" t="n"/>
      <c r="BB157" s="38" t="n"/>
      <c r="BD157" s="38" t="n"/>
      <c r="BF157" s="38" t="n"/>
      <c r="BH157" s="38" t="n"/>
      <c r="BJ157" s="38" t="n"/>
      <c r="BL157" s="38" t="n"/>
      <c r="BN157" s="38" t="n"/>
      <c r="BP157" s="38" t="n"/>
      <c r="BR157" s="39" t="n"/>
      <c r="BT157" s="38" t="n"/>
      <c r="BV157" s="38" t="n"/>
      <c r="BX157" s="38" t="n"/>
      <c r="BZ157" s="38" t="n"/>
      <c r="CB157" s="38" t="n"/>
      <c r="CD157" s="38" t="n"/>
      <c r="CF157" s="38" t="n"/>
      <c r="CG157" s="32" t="inlineStr">
        <is>
          <t>App</t>
        </is>
      </c>
      <c r="CH157" s="54" t="n"/>
      <c r="CJ157" s="38" t="n"/>
    </row>
    <row r="158">
      <c r="A158" s="31" t="n"/>
      <c r="B158" s="31" t="n"/>
      <c r="C158" s="31" t="n"/>
      <c r="D158" s="31" t="n"/>
      <c r="E158" s="31" t="n"/>
      <c r="F158" s="31" t="n"/>
      <c r="G158" s="31" t="n"/>
      <c r="H158" s="31" t="n"/>
      <c r="I158" s="31" t="n"/>
      <c r="J158" s="31" t="n"/>
      <c r="K158" s="31" t="n"/>
      <c r="L158" s="31" t="n"/>
      <c r="M158" s="31" t="n"/>
      <c r="N158" s="31" t="n"/>
      <c r="O158" s="31" t="n"/>
      <c r="P158" s="31" t="inlineStr">
        <is>
          <t>QA</t>
        </is>
      </c>
      <c r="Q158" s="31" t="inlineStr"/>
      <c r="R158" s="38" t="n"/>
      <c r="T158" s="38" t="n"/>
      <c r="V158" s="38" t="n"/>
      <c r="X158" s="38" t="n"/>
      <c r="Z158" s="38" t="n"/>
      <c r="AB158" s="38" t="n"/>
      <c r="AD158" s="38" t="n"/>
      <c r="AF158" s="38" t="n"/>
      <c r="AH158" s="38" t="n"/>
      <c r="AJ158" s="38" t="n"/>
      <c r="AL158" s="38" t="n"/>
      <c r="AN158" s="38" t="n"/>
      <c r="AP158" s="38" t="n"/>
      <c r="AR158" s="38" t="n"/>
      <c r="AT158" s="38" t="n"/>
      <c r="AV158" s="38" t="n"/>
      <c r="AX158" s="38" t="n"/>
      <c r="AZ158" s="38" t="n"/>
      <c r="BB158" s="38" t="n"/>
      <c r="BD158" s="38" t="n"/>
      <c r="BF158" s="38" t="n"/>
      <c r="BH158" s="38" t="n"/>
      <c r="BJ158" s="38" t="n"/>
      <c r="BL158" s="38" t="n"/>
      <c r="BN158" s="38" t="n"/>
      <c r="BP158" s="38" t="n"/>
      <c r="BR158" s="39" t="n"/>
      <c r="BT158" s="38" t="n"/>
      <c r="BV158" s="38" t="n"/>
      <c r="BX158" s="38" t="n"/>
      <c r="BZ158" s="38" t="n"/>
      <c r="CB158" s="38" t="n"/>
      <c r="CD158" s="38" t="n"/>
      <c r="CF158" s="38" t="n"/>
      <c r="CH158" s="38" t="n"/>
      <c r="CI158" s="33" t="inlineStr">
        <is>
          <t>QA</t>
        </is>
      </c>
      <c r="CJ158" s="55" t="n"/>
    </row>
  </sheetData>
  <mergeCells count="6">
    <mergeCell ref="BE11:BQ11"/>
    <mergeCell ref="AE11:AQ11"/>
    <mergeCell ref="BR11:CJ11"/>
    <mergeCell ref="E1:P3"/>
    <mergeCell ref="R11:AD11"/>
    <mergeCell ref="AR11:B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44" customWidth="1" min="3" max="3"/>
    <col width="13" customWidth="1" min="4" max="4"/>
    <col width="12" customWidth="1" min="5" max="5"/>
    <col width="8" customWidth="1" min="6" max="6"/>
    <col width="8" customWidth="1" min="7" max="7"/>
    <col width="7" customWidth="1" min="8" max="8"/>
    <col width="8" customWidth="1" min="9" max="9"/>
    <col width="7" customWidth="1" min="10" max="10"/>
    <col width="8" customWidth="1" min="11" max="11"/>
    <col width="7" customWidth="1" min="12" max="12"/>
    <col width="12" customWidth="1" min="13" max="13"/>
    <col width="12" customWidth="1" min="14" max="14"/>
    <col width="24"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50" customWidth="1" min="28" max="28"/>
    <col width="14" customWidth="1" min="29" max="29"/>
  </cols>
  <sheetData>
    <row r="1">
      <c r="A1" s="1" t="inlineStr">
        <is>
          <t>Order</t>
        </is>
      </c>
      <c r="B1" s="1" t="inlineStr">
        <is>
          <t>Id</t>
        </is>
      </c>
      <c r="C1" s="1" t="inlineStr">
        <is>
          <t>Initiative</t>
        </is>
      </c>
      <c r="D1" s="1" t="inlineStr">
        <is>
          <t>Goal</t>
        </is>
      </c>
      <c r="E1" s="1" t="inlineStr">
        <is>
          <t>Product</t>
        </is>
      </c>
      <c r="F1" s="1" t="inlineStr">
        <is>
          <t>Priority</t>
        </is>
      </c>
      <c r="G1" s="1" t="inlineStr">
        <is>
          <t>Quarter</t>
        </is>
      </c>
      <c r="H1" s="1" t="inlineStr">
        <is>
          <t>BE size</t>
        </is>
      </c>
      <c r="I1" s="1" t="inlineStr">
        <is>
          <t>BE FTE sprints</t>
        </is>
      </c>
      <c r="J1" s="1" t="inlineStr">
        <is>
          <t>App size</t>
        </is>
      </c>
      <c r="K1" s="1" t="inlineStr">
        <is>
          <t>App FTE sprints</t>
        </is>
      </c>
      <c r="L1" s="1" t="inlineStr">
        <is>
          <t>Design</t>
        </is>
      </c>
      <c r="M1" s="1" t="inlineStr">
        <is>
          <t>Start</t>
        </is>
      </c>
      <c r="N1" s="1" t="inlineStr">
        <is>
          <t>End</t>
        </is>
      </c>
      <c r="O1" s="1" t="inlineStr">
        <is>
          <t>Status</t>
        </is>
      </c>
      <c r="P1" s="1" t="inlineStr">
        <is>
          <t>PM start</t>
        </is>
      </c>
      <c r="Q1" s="1" t="inlineStr">
        <is>
          <t>Design start</t>
        </is>
      </c>
      <c r="R1" s="1" t="inlineStr">
        <is>
          <t>TPM start</t>
        </is>
      </c>
      <c r="S1" s="1" t="inlineStr">
        <is>
          <t>BE start</t>
        </is>
      </c>
      <c r="T1" s="1" t="inlineStr">
        <is>
          <t>App start</t>
        </is>
      </c>
      <c r="U1" s="1" t="inlineStr">
        <is>
          <t>QA start</t>
        </is>
      </c>
      <c r="V1" s="1" t="inlineStr">
        <is>
          <t>PM end</t>
        </is>
      </c>
      <c r="W1" s="1" t="inlineStr">
        <is>
          <t>Design end</t>
        </is>
      </c>
      <c r="X1" s="1" t="inlineStr">
        <is>
          <t>TPM end</t>
        </is>
      </c>
      <c r="Y1" s="1" t="inlineStr">
        <is>
          <t>BE end</t>
        </is>
      </c>
      <c r="Z1" s="1" t="inlineStr">
        <is>
          <t>App end</t>
        </is>
      </c>
      <c r="AA1" s="1" t="inlineStr">
        <is>
          <t>QA end</t>
        </is>
      </c>
      <c r="AB1" s="1" t="inlineStr">
        <is>
          <t>Dependencies</t>
        </is>
      </c>
      <c r="AC1" s="1" t="inlineStr">
        <is>
          <t>Asana</t>
        </is>
      </c>
    </row>
    <row r="2">
      <c r="A2" t="n">
        <v>1</v>
      </c>
      <c r="B2" t="inlineStr">
        <is>
          <t>G6</t>
        </is>
      </c>
      <c r="C2" t="inlineStr">
        <is>
          <t>Integrate MTU transaction flow to Terminus</t>
        </is>
      </c>
      <c r="D2" t="inlineStr">
        <is>
          <t>Business Goal</t>
        </is>
      </c>
      <c r="E2" t="inlineStr">
        <is>
          <t>MTU</t>
        </is>
      </c>
      <c r="F2" t="inlineStr">
        <is>
          <t>High</t>
        </is>
      </c>
      <c r="G2" t="inlineStr">
        <is>
          <t>Q1</t>
        </is>
      </c>
      <c r="H2" t="inlineStr">
        <is>
          <t>M</t>
        </is>
      </c>
      <c r="I2" t="n">
        <v>1</v>
      </c>
      <c r="J2" t="inlineStr">
        <is>
          <t>-</t>
        </is>
      </c>
      <c r="K2" t="n">
        <v>0</v>
      </c>
      <c r="L2" t="inlineStr">
        <is>
          <t>-</t>
        </is>
      </c>
      <c r="M2" s="61" t="n">
        <v>46279</v>
      </c>
      <c r="N2" s="61" t="n">
        <v>46314</v>
      </c>
      <c r="O2" s="61" t="inlineStr">
        <is>
          <t>Fits in FY27</t>
        </is>
      </c>
      <c r="P2" s="61" t="inlineStr"/>
      <c r="Q2" s="61" t="inlineStr"/>
      <c r="R2" s="61" t="inlineStr"/>
      <c r="S2" s="61" t="n">
        <v>46279</v>
      </c>
      <c r="T2" s="61" t="inlineStr"/>
      <c r="U2" s="61" t="n">
        <v>46307</v>
      </c>
      <c r="V2" s="61" t="inlineStr"/>
      <c r="W2" s="61" t="inlineStr"/>
      <c r="X2" s="61" t="inlineStr"/>
      <c r="Y2" s="61" t="n">
        <v>46293</v>
      </c>
      <c r="Z2" s="61" t="inlineStr"/>
      <c r="AA2" s="62" t="n">
        <v>46314</v>
      </c>
      <c r="AB2" t="inlineStr">
        <is>
          <t>Terminus team (fraud platform). Carry-over from FY26, backend In Progress.</t>
        </is>
      </c>
      <c r="AC2" s="10">
        <f>HYPERLINK("https://app.asana.com/1/8556634603607/project/1215564565348002/task/1215923982536887","G6 in Asana")</f>
        <v/>
      </c>
    </row>
    <row r="3">
      <c r="A3" t="n">
        <v>2</v>
      </c>
      <c r="B3" t="inlineStr">
        <is>
          <t>G4</t>
        </is>
      </c>
      <c r="C3" t="inlineStr">
        <is>
          <t>New Channel: roll out the WhatsApp MTU chatbot</t>
        </is>
      </c>
      <c r="D3" t="inlineStr">
        <is>
          <t>Business Goal</t>
        </is>
      </c>
      <c r="E3" t="inlineStr">
        <is>
          <t>MTU</t>
        </is>
      </c>
      <c r="F3" t="inlineStr">
        <is>
          <t>High</t>
        </is>
      </c>
      <c r="G3" t="inlineStr">
        <is>
          <t>Q1</t>
        </is>
      </c>
      <c r="H3" t="inlineStr">
        <is>
          <t>M</t>
        </is>
      </c>
      <c r="I3" t="n">
        <v>2</v>
      </c>
      <c r="J3" t="inlineStr">
        <is>
          <t>-</t>
        </is>
      </c>
      <c r="K3" t="n">
        <v>0</v>
      </c>
      <c r="L3" t="inlineStr">
        <is>
          <t>-</t>
        </is>
      </c>
      <c r="M3" s="61" t="n">
        <v>46265</v>
      </c>
      <c r="N3" s="61" t="n">
        <v>46321</v>
      </c>
      <c r="O3" s="61" t="inlineStr">
        <is>
          <t>Fits in FY27</t>
        </is>
      </c>
      <c r="P3" s="61" t="n">
        <v>46265</v>
      </c>
      <c r="Q3" s="61" t="inlineStr"/>
      <c r="R3" s="61" t="n">
        <v>46272</v>
      </c>
      <c r="S3" s="61" t="n">
        <v>46279</v>
      </c>
      <c r="T3" s="61" t="inlineStr"/>
      <c r="U3" s="61" t="n">
        <v>46307</v>
      </c>
      <c r="V3" s="61" t="n">
        <v>46272</v>
      </c>
      <c r="W3" s="61" t="inlineStr"/>
      <c r="X3" s="61" t="n">
        <v>46279</v>
      </c>
      <c r="Y3" s="61" t="n">
        <v>46307</v>
      </c>
      <c r="Z3" s="61" t="inlineStr"/>
      <c r="AA3" s="62" t="n">
        <v>46321</v>
      </c>
      <c r="AB3" t="inlineStr">
        <is>
          <t>WhatsApp Business team (chatbot and conversation design), DTC Universal API (shipped FY26), MARCOM for the entry deep link.</t>
        </is>
      </c>
      <c r="AC3" s="10">
        <f>HYPERLINK("https://app.asana.com/1/8556634603607/project/1215564565348002/task/1215922468293591","G4 in Asana")</f>
        <v/>
      </c>
    </row>
    <row r="4">
      <c r="A4" t="n">
        <v>3</v>
      </c>
      <c r="B4" t="inlineStr">
        <is>
          <t>B11</t>
        </is>
      </c>
      <c r="C4" t="inlineStr">
        <is>
          <t>Introduce postpaid top-ups (direct billers)</t>
        </is>
      </c>
      <c r="D4" t="inlineStr">
        <is>
          <t>Board Goal</t>
        </is>
      </c>
      <c r="E4" t="inlineStr">
        <is>
          <t>MTU</t>
        </is>
      </c>
      <c r="F4" t="inlineStr">
        <is>
          <t>High</t>
        </is>
      </c>
      <c r="G4" t="inlineStr">
        <is>
          <t>Q1</t>
        </is>
      </c>
      <c r="H4" t="inlineStr">
        <is>
          <t>L</t>
        </is>
      </c>
      <c r="I4" t="n">
        <v>4</v>
      </c>
      <c r="J4" t="inlineStr">
        <is>
          <t>S</t>
        </is>
      </c>
      <c r="K4" t="n">
        <v>1</v>
      </c>
      <c r="L4" t="inlineStr">
        <is>
          <t>S</t>
        </is>
      </c>
      <c r="M4" s="61" t="n">
        <v>46265</v>
      </c>
      <c r="N4" s="61" t="n">
        <v>46363</v>
      </c>
      <c r="O4" s="61" t="inlineStr">
        <is>
          <t>Fits in FY27</t>
        </is>
      </c>
      <c r="P4" s="61" t="n">
        <v>46265</v>
      </c>
      <c r="Q4" s="61" t="n">
        <v>46279</v>
      </c>
      <c r="R4" s="61" t="n">
        <v>46293</v>
      </c>
      <c r="S4" s="61" t="n">
        <v>46307</v>
      </c>
      <c r="T4" s="61" t="n">
        <v>46335</v>
      </c>
      <c r="U4" s="61" t="n">
        <v>46349</v>
      </c>
      <c r="V4" s="61" t="n">
        <v>46279</v>
      </c>
      <c r="W4" s="61" t="n">
        <v>46293</v>
      </c>
      <c r="X4" s="61" t="n">
        <v>46307</v>
      </c>
      <c r="Y4" s="61" t="n">
        <v>46335</v>
      </c>
      <c r="Z4" s="61" t="n">
        <v>46349</v>
      </c>
      <c r="AA4" s="62" t="n">
        <v>46363</v>
      </c>
      <c r="AB4" t="inlineStr">
        <is>
          <t>K2 connectors team (biller integration), Tigo and other carriers for postpaid APIs, Finance for non-instant settlement.</t>
        </is>
      </c>
      <c r="AC4" s="10">
        <f>HYPERLINK("https://app.asana.com/1/8556634603607/project/1215564565348002/task/1218156429240249","B11 in Asana")</f>
        <v/>
      </c>
    </row>
    <row r="5">
      <c r="A5" t="n">
        <v>4</v>
      </c>
      <c r="B5" t="inlineStr">
        <is>
          <t>G1</t>
        </is>
      </c>
      <c r="C5" t="inlineStr">
        <is>
          <t>MTU modular component and cross-selling MTU on Money Transfer</t>
        </is>
      </c>
      <c r="D5" t="inlineStr">
        <is>
          <t>Business Goal</t>
        </is>
      </c>
      <c r="E5" t="inlineStr">
        <is>
          <t>MTU</t>
        </is>
      </c>
      <c r="F5" t="inlineStr">
        <is>
          <t>High</t>
        </is>
      </c>
      <c r="G5" t="inlineStr">
        <is>
          <t>Q1</t>
        </is>
      </c>
      <c r="H5" t="inlineStr">
        <is>
          <t>M</t>
        </is>
      </c>
      <c r="I5" t="n">
        <v>2</v>
      </c>
      <c r="J5" t="inlineStr">
        <is>
          <t>L</t>
        </is>
      </c>
      <c r="K5" t="n">
        <v>4</v>
      </c>
      <c r="L5" t="inlineStr">
        <is>
          <t>M</t>
        </is>
      </c>
      <c r="M5" s="61" t="n">
        <v>46272</v>
      </c>
      <c r="N5" s="61" t="n">
        <v>46405</v>
      </c>
      <c r="O5" s="61" t="inlineStr">
        <is>
          <t>Fits in FY27</t>
        </is>
      </c>
      <c r="P5" s="61" t="n">
        <v>46272</v>
      </c>
      <c r="Q5" s="61" t="n">
        <v>46286</v>
      </c>
      <c r="R5" s="61" t="n">
        <v>46307</v>
      </c>
      <c r="S5" s="61" t="n">
        <v>46335</v>
      </c>
      <c r="T5" s="61" t="n">
        <v>46363</v>
      </c>
      <c r="U5" s="61" t="n">
        <v>46391</v>
      </c>
      <c r="V5" s="61" t="n">
        <v>46286</v>
      </c>
      <c r="W5" s="61" t="n">
        <v>46307</v>
      </c>
      <c r="X5" s="61" t="n">
        <v>46321</v>
      </c>
      <c r="Y5" s="61" t="n">
        <v>46363</v>
      </c>
      <c r="Z5" s="61" t="n">
        <v>46391</v>
      </c>
      <c r="AA5" s="62" t="n">
        <v>46405</v>
      </c>
      <c r="AB5" t="inlineStr">
        <is>
          <t>Boss Money app team (host surface), Engager for offer selection. Spec started in Confluence (Modular IMTU Component).</t>
        </is>
      </c>
      <c r="AC5" s="10">
        <f>HYPERLINK("https://app.asana.com/1/8556634603607/project/1215564565348002/task/1216072967479615","G1 in Asana")</f>
        <v/>
      </c>
    </row>
    <row r="6">
      <c r="A6" t="n">
        <v>5</v>
      </c>
      <c r="B6" t="inlineStr">
        <is>
          <t>B2</t>
        </is>
      </c>
      <c r="C6" t="inlineStr">
        <is>
          <t>Reduce subscription cancellations</t>
        </is>
      </c>
      <c r="D6" t="inlineStr">
        <is>
          <t>Board Goal</t>
        </is>
      </c>
      <c r="E6" t="inlineStr">
        <is>
          <t>MTU</t>
        </is>
      </c>
      <c r="F6" t="inlineStr">
        <is>
          <t>High</t>
        </is>
      </c>
      <c r="G6" t="inlineStr">
        <is>
          <t>Q1</t>
        </is>
      </c>
      <c r="H6" t="inlineStr">
        <is>
          <t>M</t>
        </is>
      </c>
      <c r="I6" t="n">
        <v>2</v>
      </c>
      <c r="J6" t="inlineStr">
        <is>
          <t>L</t>
        </is>
      </c>
      <c r="K6" t="n">
        <v>4</v>
      </c>
      <c r="L6" t="inlineStr">
        <is>
          <t>M</t>
        </is>
      </c>
      <c r="M6" s="61" t="n">
        <v>46279</v>
      </c>
      <c r="N6" s="61" t="n">
        <v>46433</v>
      </c>
      <c r="O6" s="61" t="inlineStr">
        <is>
          <t>Fits in FY27</t>
        </is>
      </c>
      <c r="P6" s="61" t="n">
        <v>46279</v>
      </c>
      <c r="Q6" s="61" t="n">
        <v>46300</v>
      </c>
      <c r="R6" s="61" t="n">
        <v>46321</v>
      </c>
      <c r="S6" s="61" t="n">
        <v>46335</v>
      </c>
      <c r="T6" s="61" t="n">
        <v>46391</v>
      </c>
      <c r="U6" s="61" t="n">
        <v>46419</v>
      </c>
      <c r="V6" s="61" t="n">
        <v>46300</v>
      </c>
      <c r="W6" s="61" t="n">
        <v>46321</v>
      </c>
      <c r="X6" s="61" t="n">
        <v>46335</v>
      </c>
      <c r="Y6" s="61" t="n">
        <v>46363</v>
      </c>
      <c r="Z6" s="61" t="n">
        <v>46419</v>
      </c>
      <c r="AA6" s="62" t="n">
        <v>46433</v>
      </c>
      <c r="AB6" t="inlineStr">
        <is>
          <t>Subly (subscription engine), CRM for the Braze savings attribute, Amplitude taxonomy fixes (DCS-5331 style) for the cancel funnel.</t>
        </is>
      </c>
      <c r="AC6" s="10">
        <f>HYPERLINK("https://app.asana.com/1/8556634603607/project/1215564565348002/task/1218156225083577","B2 in Asana")</f>
        <v/>
      </c>
    </row>
    <row r="7">
      <c r="A7" t="n">
        <v>6</v>
      </c>
      <c r="B7" t="inlineStr">
        <is>
          <t>G3</t>
        </is>
      </c>
      <c r="C7" t="inlineStr">
        <is>
          <t>Cross-sell 2.0: Engager cards on the MTU home page</t>
        </is>
      </c>
      <c r="D7" t="inlineStr">
        <is>
          <t>Business Goal</t>
        </is>
      </c>
      <c r="E7" t="inlineStr">
        <is>
          <t>MTU</t>
        </is>
      </c>
      <c r="F7" t="inlineStr">
        <is>
          <t>Medium</t>
        </is>
      </c>
      <c r="G7" t="inlineStr">
        <is>
          <t>Q1</t>
        </is>
      </c>
      <c r="H7" t="inlineStr">
        <is>
          <t>S</t>
        </is>
      </c>
      <c r="I7" t="n">
        <v>1</v>
      </c>
      <c r="J7" t="inlineStr">
        <is>
          <t>M</t>
        </is>
      </c>
      <c r="K7" t="n">
        <v>2</v>
      </c>
      <c r="L7" t="inlineStr">
        <is>
          <t>S</t>
        </is>
      </c>
      <c r="M7" s="61" t="n">
        <v>46286</v>
      </c>
      <c r="N7" s="61" t="n">
        <v>46454</v>
      </c>
      <c r="O7" s="61" t="inlineStr">
        <is>
          <t>Fits in FY27</t>
        </is>
      </c>
      <c r="P7" s="61" t="n">
        <v>46286</v>
      </c>
      <c r="Q7" s="61" t="n">
        <v>46307</v>
      </c>
      <c r="R7" s="61" t="n">
        <v>46321</v>
      </c>
      <c r="S7" s="61" t="n">
        <v>46363</v>
      </c>
      <c r="T7" s="61" t="n">
        <v>46419</v>
      </c>
      <c r="U7" s="61" t="n">
        <v>46447</v>
      </c>
      <c r="V7" s="61" t="n">
        <v>46300</v>
      </c>
      <c r="W7" s="61" t="n">
        <v>46321</v>
      </c>
      <c r="X7" s="61" t="n">
        <v>46328</v>
      </c>
      <c r="Y7" s="61" t="n">
        <v>46377</v>
      </c>
      <c r="Z7" s="61" t="n">
        <v>46447</v>
      </c>
      <c r="AA7" s="62" t="n">
        <v>46454</v>
      </c>
      <c r="AB7" t="inlineStr">
        <is>
          <t>Engager team (card content and targeting), BR7 MTU home redesign (shipped FY26).</t>
        </is>
      </c>
      <c r="AC7" s="10">
        <f>HYPERLINK("https://app.asana.com/1/8556634603607/project/1215564565348002/task/1215922468293595","G3 in Asana")</f>
        <v/>
      </c>
    </row>
    <row r="8">
      <c r="A8" t="n">
        <v>7</v>
      </c>
      <c r="B8" t="inlineStr">
        <is>
          <t>B4</t>
        </is>
      </c>
      <c r="C8" t="inlineStr">
        <is>
          <t>Add mobile payments (Apple Pay and Google Pay)</t>
        </is>
      </c>
      <c r="D8" t="inlineStr">
        <is>
          <t>Board Goal</t>
        </is>
      </c>
      <c r="E8" t="inlineStr">
        <is>
          <t>All Products</t>
        </is>
      </c>
      <c r="F8" t="inlineStr">
        <is>
          <t>High</t>
        </is>
      </c>
      <c r="G8" t="inlineStr">
        <is>
          <t>Q2</t>
        </is>
      </c>
      <c r="H8" t="inlineStr">
        <is>
          <t>L</t>
        </is>
      </c>
      <c r="I8" t="n">
        <v>4</v>
      </c>
      <c r="J8" t="inlineStr">
        <is>
          <t>L</t>
        </is>
      </c>
      <c r="K8" t="n">
        <v>4</v>
      </c>
      <c r="L8" t="inlineStr">
        <is>
          <t>S</t>
        </is>
      </c>
      <c r="M8" s="61" t="n">
        <v>46300</v>
      </c>
      <c r="N8" s="61" t="n">
        <v>46496</v>
      </c>
      <c r="O8" s="61" t="inlineStr">
        <is>
          <t>Fits in FY27</t>
        </is>
      </c>
      <c r="P8" s="61" t="n">
        <v>46300</v>
      </c>
      <c r="Q8" s="61" t="n">
        <v>46321</v>
      </c>
      <c r="R8" s="61" t="n">
        <v>46335</v>
      </c>
      <c r="S8" s="61" t="n">
        <v>46377</v>
      </c>
      <c r="T8" s="61" t="n">
        <v>46447</v>
      </c>
      <c r="U8" s="61" t="n">
        <v>46475</v>
      </c>
      <c r="V8" s="61" t="n">
        <v>46314</v>
      </c>
      <c r="W8" s="61" t="n">
        <v>46335</v>
      </c>
      <c r="X8" s="61" t="n">
        <v>46349</v>
      </c>
      <c r="Y8" s="61" t="n">
        <v>46405</v>
      </c>
      <c r="Z8" s="61" t="n">
        <v>46475</v>
      </c>
      <c r="AA8" s="62" t="n">
        <v>46496</v>
      </c>
      <c r="AB8" t="inlineStr">
        <is>
          <t>IDT Pay (tokenisation and processor support), Fraud team (Apple Pay fraud at 0.01%), Apple and Google merchant onboarding.</t>
        </is>
      </c>
      <c r="AC8" s="10">
        <f>HYPERLINK("https://app.asana.com/1/8556634603607/project/1215564565348002/task/1218156429240276","B4 in Asana")</f>
        <v/>
      </c>
    </row>
    <row r="9">
      <c r="A9" t="n">
        <v>8</v>
      </c>
      <c r="B9" t="inlineStr">
        <is>
          <t>B1</t>
        </is>
      </c>
      <c r="C9" t="inlineStr">
        <is>
          <t>Deploy AI-powered dynamic pricing (offer price and variable fees)</t>
        </is>
      </c>
      <c r="D9" t="inlineStr">
        <is>
          <t>Board Goal</t>
        </is>
      </c>
      <c r="E9" t="inlineStr">
        <is>
          <t>MTU</t>
        </is>
      </c>
      <c r="F9" t="inlineStr">
        <is>
          <t>High</t>
        </is>
      </c>
      <c r="G9" t="inlineStr">
        <is>
          <t>Q2</t>
        </is>
      </c>
      <c r="H9" t="inlineStr">
        <is>
          <t>M</t>
        </is>
      </c>
      <c r="I9" t="n">
        <v>2</v>
      </c>
      <c r="J9" t="inlineStr">
        <is>
          <t>S</t>
        </is>
      </c>
      <c r="K9" t="n">
        <v>1</v>
      </c>
      <c r="L9" t="inlineStr">
        <is>
          <t>S</t>
        </is>
      </c>
      <c r="M9" s="61" t="n">
        <v>46300</v>
      </c>
      <c r="N9" s="61" t="n">
        <v>46503</v>
      </c>
      <c r="O9" s="61" t="inlineStr">
        <is>
          <t>Fits in FY27</t>
        </is>
      </c>
      <c r="P9" s="61" t="n">
        <v>46300</v>
      </c>
      <c r="Q9" s="61" t="n">
        <v>46321</v>
      </c>
      <c r="R9" s="61" t="n">
        <v>46335</v>
      </c>
      <c r="S9" s="61" t="n">
        <v>46405</v>
      </c>
      <c r="T9" s="61" t="n">
        <v>46475</v>
      </c>
      <c r="U9" s="61" t="n">
        <v>46489</v>
      </c>
      <c r="V9" s="61" t="n">
        <v>46321</v>
      </c>
      <c r="W9" s="61" t="n">
        <v>46335</v>
      </c>
      <c r="X9" s="61" t="n">
        <v>46349</v>
      </c>
      <c r="Y9" s="61" t="n">
        <v>46433</v>
      </c>
      <c r="Z9" s="61" t="n">
        <v>46489</v>
      </c>
      <c r="AA9" s="62" t="n">
        <v>46503</v>
      </c>
      <c r="AB9" t="inlineStr">
        <is>
          <t>Pricing team and OMTU (pricing model and service), K2 (price and fee fields), Legal for price display rules.</t>
        </is>
      </c>
      <c r="AC9" s="10">
        <f>HYPERLINK("https://app.asana.com/1/8556634603607/project/1215564565348002/task/1218156225083580","B1 in Asana")</f>
        <v/>
      </c>
    </row>
    <row r="10">
      <c r="A10" t="n">
        <v>9</v>
      </c>
      <c r="B10" t="inlineStr">
        <is>
          <t>G9</t>
        </is>
      </c>
      <c r="C10" t="inlineStr">
        <is>
          <t>Integrate with the KVouchers platform (IDT vouchers and new flows)</t>
        </is>
      </c>
      <c r="D10" t="inlineStr">
        <is>
          <t>Business Goal</t>
        </is>
      </c>
      <c r="E10" t="inlineStr">
        <is>
          <t>eGIFT</t>
        </is>
      </c>
      <c r="F10" t="inlineStr">
        <is>
          <t>High</t>
        </is>
      </c>
      <c r="G10" t="inlineStr">
        <is>
          <t>Q2</t>
        </is>
      </c>
      <c r="H10" t="inlineStr">
        <is>
          <t>L</t>
        </is>
      </c>
      <c r="I10" t="n">
        <v>4</v>
      </c>
      <c r="J10" t="inlineStr">
        <is>
          <t>M</t>
        </is>
      </c>
      <c r="K10" t="n">
        <v>2</v>
      </c>
      <c r="L10" t="inlineStr">
        <is>
          <t>M</t>
        </is>
      </c>
      <c r="M10" s="61" t="n">
        <v>46314</v>
      </c>
      <c r="N10" s="61" t="n">
        <v>46517</v>
      </c>
      <c r="O10" s="61" t="inlineStr">
        <is>
          <t>Fits in FY27</t>
        </is>
      </c>
      <c r="P10" s="61" t="n">
        <v>46314</v>
      </c>
      <c r="Q10" s="61" t="n">
        <v>46335</v>
      </c>
      <c r="R10" s="61" t="n">
        <v>46356</v>
      </c>
      <c r="S10" s="61" t="n">
        <v>46433</v>
      </c>
      <c r="T10" s="61" t="n">
        <v>46475</v>
      </c>
      <c r="U10" s="61" t="n">
        <v>46503</v>
      </c>
      <c r="V10" s="61" t="n">
        <v>46335</v>
      </c>
      <c r="W10" s="61" t="n">
        <v>46356</v>
      </c>
      <c r="X10" s="61" t="n">
        <v>46370</v>
      </c>
      <c r="Y10" s="61" t="n">
        <v>46461</v>
      </c>
      <c r="Z10" s="61" t="n">
        <v>46503</v>
      </c>
      <c r="AA10" s="62" t="n">
        <v>46517</v>
      </c>
      <c r="AB10" t="inlineStr">
        <is>
          <t>KVouchers platform team, Finance (breakage accounting), eGift supplier contracts.</t>
        </is>
      </c>
      <c r="AC10" s="10">
        <f>HYPERLINK("https://app.asana.com/1/8556634603607/project/1215564565348002/task/1215840097748060","G9 in Asana")</f>
        <v/>
      </c>
    </row>
    <row r="11">
      <c r="A11" t="n">
        <v>10</v>
      </c>
      <c r="B11" t="inlineStr">
        <is>
          <t>G2</t>
        </is>
      </c>
      <c r="C11" t="inlineStr">
        <is>
          <t>Cross-selling MTU on Pinless (module)</t>
        </is>
      </c>
      <c r="D11" t="inlineStr">
        <is>
          <t>Business Goal</t>
        </is>
      </c>
      <c r="E11" t="inlineStr">
        <is>
          <t>MTU</t>
        </is>
      </c>
      <c r="F11" t="inlineStr">
        <is>
          <t>High</t>
        </is>
      </c>
      <c r="G11" t="inlineStr">
        <is>
          <t>Q2</t>
        </is>
      </c>
      <c r="H11" t="inlineStr">
        <is>
          <t>S</t>
        </is>
      </c>
      <c r="I11" t="n">
        <v>1</v>
      </c>
      <c r="J11" t="inlineStr">
        <is>
          <t>S</t>
        </is>
      </c>
      <c r="K11" t="n">
        <v>1</v>
      </c>
      <c r="L11" t="inlineStr">
        <is>
          <t>S</t>
        </is>
      </c>
      <c r="M11" s="61" t="n">
        <v>46321</v>
      </c>
      <c r="N11" s="61" t="n">
        <v>46510</v>
      </c>
      <c r="O11" s="61" t="inlineStr">
        <is>
          <t>Fits in FY27</t>
        </is>
      </c>
      <c r="P11" s="61" t="n">
        <v>46321</v>
      </c>
      <c r="Q11" s="61" t="n">
        <v>46335</v>
      </c>
      <c r="R11" s="61" t="n">
        <v>46349</v>
      </c>
      <c r="S11" s="61" t="n">
        <v>46461</v>
      </c>
      <c r="T11" s="61" t="n">
        <v>46489</v>
      </c>
      <c r="U11" s="61" t="n">
        <v>46503</v>
      </c>
      <c r="V11" s="61" t="n">
        <v>46328</v>
      </c>
      <c r="W11" s="61" t="n">
        <v>46349</v>
      </c>
      <c r="X11" s="61" t="n">
        <v>46356</v>
      </c>
      <c r="Y11" s="61" t="n">
        <v>46475</v>
      </c>
      <c r="Z11" s="61" t="n">
        <v>46503</v>
      </c>
      <c r="AA11" s="62" t="n">
        <v>46510</v>
      </c>
      <c r="AB11" t="inlineStr">
        <is>
          <t>MTU modular component (G1). Calling (Pinless) product team for the host screens.</t>
        </is>
      </c>
      <c r="AC11" s="10">
        <f>HYPERLINK("https://app.asana.com/1/8556634603607/project/1215564565348002/task/1216072967479611","G2 in Asana")</f>
        <v/>
      </c>
    </row>
    <row r="12">
      <c r="A12" t="n">
        <v>11</v>
      </c>
      <c r="B12" t="inlineStr">
        <is>
          <t>G10</t>
        </is>
      </c>
      <c r="C12" t="inlineStr">
        <is>
          <t>Fraud: integrate the outsourced eGift security layer</t>
        </is>
      </c>
      <c r="D12" t="inlineStr">
        <is>
          <t>Business Goal</t>
        </is>
      </c>
      <c r="E12" t="inlineStr">
        <is>
          <t>eGIFT</t>
        </is>
      </c>
      <c r="F12" t="inlineStr">
        <is>
          <t>Medium</t>
        </is>
      </c>
      <c r="G12" t="inlineStr">
        <is>
          <t>Q2</t>
        </is>
      </c>
      <c r="H12" t="inlineStr">
        <is>
          <t>M</t>
        </is>
      </c>
      <c r="I12" t="n">
        <v>2</v>
      </c>
      <c r="J12" t="inlineStr">
        <is>
          <t>S</t>
        </is>
      </c>
      <c r="K12" t="n">
        <v>1</v>
      </c>
      <c r="L12" t="inlineStr">
        <is>
          <t>-</t>
        </is>
      </c>
      <c r="M12" s="61" t="n">
        <v>46328</v>
      </c>
      <c r="N12" s="61" t="n">
        <v>46531</v>
      </c>
      <c r="O12" s="61" t="inlineStr">
        <is>
          <t>Fits in FY27</t>
        </is>
      </c>
      <c r="P12" s="61" t="n">
        <v>46328</v>
      </c>
      <c r="Q12" s="61" t="inlineStr"/>
      <c r="R12" s="61" t="n">
        <v>46356</v>
      </c>
      <c r="S12" s="61" t="n">
        <v>46461</v>
      </c>
      <c r="T12" s="61" t="n">
        <v>46503</v>
      </c>
      <c r="U12" s="61" t="n">
        <v>46517</v>
      </c>
      <c r="V12" s="61" t="n">
        <v>46342</v>
      </c>
      <c r="W12" s="61" t="inlineStr"/>
      <c r="X12" s="61" t="n">
        <v>46363</v>
      </c>
      <c r="Y12" s="61" t="n">
        <v>46489</v>
      </c>
      <c r="Z12" s="61" t="n">
        <v>46517</v>
      </c>
      <c r="AA12" s="62" t="n">
        <v>46531</v>
      </c>
      <c r="AB12" t="inlineStr">
        <is>
          <t>Fraud vendor (Accertify, decisioning through IDT Pay), Fraud and Finance teams; vendor go-live planned for March 2027.</t>
        </is>
      </c>
      <c r="AC12" s="10">
        <f>HYPERLINK("https://app.asana.com/1/8556634603607/project/1215564565348002/task/1215781833204001","G10 in Asana")</f>
        <v/>
      </c>
    </row>
    <row r="13">
      <c r="A13" t="n">
        <v>12</v>
      </c>
      <c r="B13" t="inlineStr">
        <is>
          <t>B7</t>
        </is>
      </c>
      <c r="C13" t="inlineStr">
        <is>
          <t>Support sponsor calling plans and cross-sell them in the IMTU flow</t>
        </is>
      </c>
      <c r="D13" t="inlineStr">
        <is>
          <t>Board Goal</t>
        </is>
      </c>
      <c r="E13" t="inlineStr">
        <is>
          <t>MTU</t>
        </is>
      </c>
      <c r="F13" t="inlineStr">
        <is>
          <t>High</t>
        </is>
      </c>
      <c r="G13" t="inlineStr">
        <is>
          <t>Q2</t>
        </is>
      </c>
      <c r="H13" t="inlineStr">
        <is>
          <t>M</t>
        </is>
      </c>
      <c r="I13" t="n">
        <v>2</v>
      </c>
      <c r="J13" t="inlineStr">
        <is>
          <t>M</t>
        </is>
      </c>
      <c r="K13" t="n">
        <v>2</v>
      </c>
      <c r="L13" t="inlineStr">
        <is>
          <t>S</t>
        </is>
      </c>
      <c r="M13" s="61" t="n">
        <v>46335</v>
      </c>
      <c r="N13" s="61" t="n">
        <v>46545</v>
      </c>
      <c r="O13" s="61" t="inlineStr">
        <is>
          <t>Fits in FY27</t>
        </is>
      </c>
      <c r="P13" s="61" t="n">
        <v>46335</v>
      </c>
      <c r="Q13" s="61" t="n">
        <v>46349</v>
      </c>
      <c r="R13" s="61" t="n">
        <v>46363</v>
      </c>
      <c r="S13" s="61" t="n">
        <v>46475</v>
      </c>
      <c r="T13" s="61" t="n">
        <v>46503</v>
      </c>
      <c r="U13" s="61" t="n">
        <v>46531</v>
      </c>
      <c r="V13" s="61" t="n">
        <v>46349</v>
      </c>
      <c r="W13" s="61" t="n">
        <v>46363</v>
      </c>
      <c r="X13" s="61" t="n">
        <v>46370</v>
      </c>
      <c r="Y13" s="61" t="n">
        <v>46503</v>
      </c>
      <c r="Z13" s="61" t="n">
        <v>46531</v>
      </c>
      <c r="AA13" s="62" t="n">
        <v>46545</v>
      </c>
      <c r="AB13" t="inlineStr">
        <is>
          <t>Calling plans product team (sponsor plan catalogue and provisioning), Engager for offer placement.</t>
        </is>
      </c>
      <c r="AC13" s="10">
        <f>HYPERLINK("https://app.asana.com/1/8556634603607/project/1215564565348002/task/1218156429240267","B7 in Asana")</f>
        <v/>
      </c>
    </row>
    <row r="14">
      <c r="A14" t="n">
        <v>13</v>
      </c>
      <c r="B14" t="inlineStr">
        <is>
          <t>B10</t>
        </is>
      </c>
      <c r="C14" t="inlineStr">
        <is>
          <t>Introduce bundling capabilities for DTC</t>
        </is>
      </c>
      <c r="D14" t="inlineStr">
        <is>
          <t>Board Goal</t>
        </is>
      </c>
      <c r="E14" t="inlineStr">
        <is>
          <t>All Products</t>
        </is>
      </c>
      <c r="F14" t="inlineStr">
        <is>
          <t>High</t>
        </is>
      </c>
      <c r="G14" t="inlineStr">
        <is>
          <t>Q3</t>
        </is>
      </c>
      <c r="H14" t="inlineStr">
        <is>
          <t>XL</t>
        </is>
      </c>
      <c r="I14" t="n">
        <v>9</v>
      </c>
      <c r="J14" t="inlineStr">
        <is>
          <t>L</t>
        </is>
      </c>
      <c r="K14" t="n">
        <v>4</v>
      </c>
      <c r="L14" t="inlineStr">
        <is>
          <t>L</t>
        </is>
      </c>
      <c r="M14" s="61" t="n">
        <v>46391</v>
      </c>
      <c r="N14" s="61" t="n">
        <v>46615</v>
      </c>
      <c r="O14" s="61" t="inlineStr">
        <is>
          <t>Fits in FY27</t>
        </is>
      </c>
      <c r="P14" s="61" t="n">
        <v>46391</v>
      </c>
      <c r="Q14" s="61" t="n">
        <v>46419</v>
      </c>
      <c r="R14" s="61" t="n">
        <v>46447</v>
      </c>
      <c r="S14" s="61" t="n">
        <v>46503</v>
      </c>
      <c r="T14" s="61" t="n">
        <v>46566</v>
      </c>
      <c r="U14" s="61" t="n">
        <v>46594</v>
      </c>
      <c r="V14" s="61" t="n">
        <v>46419</v>
      </c>
      <c r="W14" s="61" t="n">
        <v>46447</v>
      </c>
      <c r="X14" s="61" t="n">
        <v>46468</v>
      </c>
      <c r="Y14" s="61" t="n">
        <v>46566</v>
      </c>
      <c r="Z14" s="61" t="n">
        <v>46594</v>
      </c>
      <c r="AA14" s="62" t="n">
        <v>46615</v>
      </c>
      <c r="AB14" t="inlineStr">
        <is>
          <t>K2 catalogue and order services, IDT Pay (single charge, partial refunds), Finance for revenue split, product teams for bundle definitions.</t>
        </is>
      </c>
      <c r="AC14" s="10">
        <f>HYPERLINK("https://app.asana.com/1/8556634603607/project/1215564565348002/task/1218156429240253","B10 in Asana")</f>
        <v/>
      </c>
    </row>
    <row r="15">
      <c r="A15" t="n">
        <v>14</v>
      </c>
      <c r="B15" t="inlineStr">
        <is>
          <t>B8</t>
        </is>
      </c>
      <c r="C15" t="inlineStr">
        <is>
          <t>Expand the BR app in ROW markets (Pinless, IMTU and eSIM)</t>
        </is>
      </c>
      <c r="D15" t="inlineStr">
        <is>
          <t>Board Goal</t>
        </is>
      </c>
      <c r="E15" t="inlineStr">
        <is>
          <t>All Products</t>
        </is>
      </c>
      <c r="F15" t="inlineStr">
        <is>
          <t>High</t>
        </is>
      </c>
      <c r="G15" t="inlineStr">
        <is>
          <t>Q3</t>
        </is>
      </c>
      <c r="H15" t="inlineStr">
        <is>
          <t>L</t>
        </is>
      </c>
      <c r="I15" t="n">
        <v>4</v>
      </c>
      <c r="J15" t="inlineStr">
        <is>
          <t>L</t>
        </is>
      </c>
      <c r="K15" t="n">
        <v>4</v>
      </c>
      <c r="L15" t="inlineStr">
        <is>
          <t>M</t>
        </is>
      </c>
      <c r="M15" s="61" t="n">
        <v>46391</v>
      </c>
      <c r="N15" s="61" t="n">
        <v>46643</v>
      </c>
      <c r="O15" s="63" t="inlineStr">
        <is>
          <t>Lands in FY28 at 35% reserve</t>
        </is>
      </c>
      <c r="P15" s="61" t="n">
        <v>46391</v>
      </c>
      <c r="Q15" s="61" t="n">
        <v>46419</v>
      </c>
      <c r="R15" s="61" t="n">
        <v>46440</v>
      </c>
      <c r="S15" s="61" t="n">
        <v>46566</v>
      </c>
      <c r="T15" s="61" t="n">
        <v>46594</v>
      </c>
      <c r="U15" s="61" t="n">
        <v>46622</v>
      </c>
      <c r="V15" s="61" t="n">
        <v>46419</v>
      </c>
      <c r="W15" s="61" t="n">
        <v>46440</v>
      </c>
      <c r="X15" s="61" t="n">
        <v>46454</v>
      </c>
      <c r="Y15" s="61" t="n">
        <v>46594</v>
      </c>
      <c r="Z15" s="61" t="n">
        <v>46622</v>
      </c>
      <c r="AA15" s="62" t="n">
        <v>46643</v>
      </c>
      <c r="AB15" t="inlineStr">
        <is>
          <t>Country launch programme (legal, tax, payments per market), IDT Pay local payment methods, Calling (Pinless) team, K2 offer catalogue per market.</t>
        </is>
      </c>
      <c r="AC15" s="10">
        <f>HYPERLINK("https://app.asana.com/1/8556634603607/project/1215564565348002/task/1218156429240264","B8 in Asana")</f>
        <v/>
      </c>
    </row>
    <row r="16">
      <c r="A16" t="n">
        <v>15</v>
      </c>
      <c r="B16" t="inlineStr">
        <is>
          <t>B5</t>
        </is>
      </c>
      <c r="C16" t="inlineStr">
        <is>
          <t>Support the RAF program with a fully trackable journey</t>
        </is>
      </c>
      <c r="D16" t="inlineStr">
        <is>
          <t>Board Goal</t>
        </is>
      </c>
      <c r="E16" t="inlineStr">
        <is>
          <t>All Products</t>
        </is>
      </c>
      <c r="F16" t="inlineStr">
        <is>
          <t>Medium</t>
        </is>
      </c>
      <c r="G16" t="inlineStr">
        <is>
          <t>Q3</t>
        </is>
      </c>
      <c r="H16" t="inlineStr">
        <is>
          <t>M</t>
        </is>
      </c>
      <c r="I16" t="n">
        <v>2</v>
      </c>
      <c r="J16" t="inlineStr">
        <is>
          <t>M</t>
        </is>
      </c>
      <c r="K16" t="n">
        <v>2</v>
      </c>
      <c r="L16" t="inlineStr">
        <is>
          <t>S</t>
        </is>
      </c>
      <c r="M16" s="61" t="n">
        <v>46419</v>
      </c>
      <c r="N16" s="61" t="n">
        <v>46664</v>
      </c>
      <c r="O16" s="63" t="inlineStr">
        <is>
          <t>Lands in FY28 at 35% reserve</t>
        </is>
      </c>
      <c r="P16" s="61" t="n">
        <v>46419</v>
      </c>
      <c r="Q16" s="61" t="n">
        <v>46440</v>
      </c>
      <c r="R16" s="61" t="n">
        <v>46454</v>
      </c>
      <c r="S16" s="61" t="n">
        <v>46594</v>
      </c>
      <c r="T16" s="61" t="n">
        <v>46622</v>
      </c>
      <c r="U16" s="61" t="n">
        <v>46650</v>
      </c>
      <c r="V16" s="61" t="n">
        <v>46433</v>
      </c>
      <c r="W16" s="61" t="n">
        <v>46454</v>
      </c>
      <c r="X16" s="61" t="n">
        <v>46468</v>
      </c>
      <c r="Y16" s="61" t="n">
        <v>46622</v>
      </c>
      <c r="Z16" s="61" t="n">
        <v>46650</v>
      </c>
      <c r="AA16" s="62" t="n">
        <v>46664</v>
      </c>
      <c r="AB16" t="inlineStr">
        <is>
          <t>DTC Core (RAF platform, shipped FY26), CRM for reward messaging, Data team for attribution reporting.</t>
        </is>
      </c>
      <c r="AC16" s="10">
        <f>HYPERLINK("https://app.asana.com/1/8556634603607/project/1215564565348002/task/1218156429240273","B5 in Asana")</f>
        <v/>
      </c>
    </row>
    <row r="17">
      <c r="A17" t="n">
        <v>16</v>
      </c>
      <c r="B17" t="inlineStr">
        <is>
          <t>G7</t>
        </is>
      </c>
      <c r="C17" t="inlineStr">
        <is>
          <t>Request Top-Up (SMS based)</t>
        </is>
      </c>
      <c r="D17" t="inlineStr">
        <is>
          <t>Business Goal</t>
        </is>
      </c>
      <c r="E17" t="inlineStr">
        <is>
          <t>MTU</t>
        </is>
      </c>
      <c r="F17" t="inlineStr">
        <is>
          <t>Medium</t>
        </is>
      </c>
      <c r="G17" t="inlineStr">
        <is>
          <t>Q3</t>
        </is>
      </c>
      <c r="H17" t="inlineStr">
        <is>
          <t>M</t>
        </is>
      </c>
      <c r="I17" t="n">
        <v>2</v>
      </c>
      <c r="J17" t="inlineStr">
        <is>
          <t>M</t>
        </is>
      </c>
      <c r="K17" t="n">
        <v>2</v>
      </c>
      <c r="L17" t="inlineStr">
        <is>
          <t>M</t>
        </is>
      </c>
      <c r="M17" s="61" t="n">
        <v>46419</v>
      </c>
      <c r="N17" s="61" t="n">
        <v>46664</v>
      </c>
      <c r="O17" s="63" t="inlineStr">
        <is>
          <t>Lands in FY28 at 35% reserve</t>
        </is>
      </c>
      <c r="P17" s="61" t="n">
        <v>46419</v>
      </c>
      <c r="Q17" s="61" t="n">
        <v>46447</v>
      </c>
      <c r="R17" s="61" t="n">
        <v>46468</v>
      </c>
      <c r="S17" s="61" t="n">
        <v>46594</v>
      </c>
      <c r="T17" s="61" t="n">
        <v>46622</v>
      </c>
      <c r="U17" s="61" t="n">
        <v>46650</v>
      </c>
      <c r="V17" s="61" t="n">
        <v>46433</v>
      </c>
      <c r="W17" s="61" t="n">
        <v>46468</v>
      </c>
      <c r="X17" s="61" t="n">
        <v>46482</v>
      </c>
      <c r="Y17" s="61" t="n">
        <v>46622</v>
      </c>
      <c r="Z17" s="61" t="n">
        <v>46650</v>
      </c>
      <c r="AA17" s="62" t="n">
        <v>46664</v>
      </c>
      <c r="AB17" t="inlineStr">
        <is>
          <t>MARCOM (landing page and SMS templates), SMS gateway, RAF platform for the referral hook.</t>
        </is>
      </c>
      <c r="AC17" s="10">
        <f>HYPERLINK("https://app.asana.com/1/8556634603607/project/1215564565348002/task/1215836632250426","G7 in Asana")</f>
        <v/>
      </c>
    </row>
    <row r="18">
      <c r="A18" t="n">
        <v>17</v>
      </c>
      <c r="B18" t="inlineStr">
        <is>
          <t>G11</t>
        </is>
      </c>
      <c r="C18" t="inlineStr">
        <is>
          <t>eSIM location-based improvements</t>
        </is>
      </c>
      <c r="D18" t="inlineStr">
        <is>
          <t>Business Goal</t>
        </is>
      </c>
      <c r="E18" t="inlineStr">
        <is>
          <t>eSIM</t>
        </is>
      </c>
      <c r="F18" t="inlineStr">
        <is>
          <t>Medium</t>
        </is>
      </c>
      <c r="G18" t="inlineStr">
        <is>
          <t>Q3</t>
        </is>
      </c>
      <c r="H18" t="inlineStr">
        <is>
          <t>S</t>
        </is>
      </c>
      <c r="I18" t="n">
        <v>1</v>
      </c>
      <c r="J18" t="inlineStr">
        <is>
          <t>M</t>
        </is>
      </c>
      <c r="K18" t="n">
        <v>2</v>
      </c>
      <c r="L18" t="inlineStr">
        <is>
          <t>S</t>
        </is>
      </c>
      <c r="M18" s="61" t="n">
        <v>46433</v>
      </c>
      <c r="N18" s="61" t="n">
        <v>46692</v>
      </c>
      <c r="O18" s="63" t="inlineStr">
        <is>
          <t>Lands in FY28 at 35% reserve</t>
        </is>
      </c>
      <c r="P18" s="61" t="n">
        <v>46433</v>
      </c>
      <c r="Q18" s="61" t="n">
        <v>46454</v>
      </c>
      <c r="R18" s="61" t="n">
        <v>46468</v>
      </c>
      <c r="S18" s="61" t="n">
        <v>46622</v>
      </c>
      <c r="T18" s="61" t="n">
        <v>46650</v>
      </c>
      <c r="U18" s="61" t="n">
        <v>46678</v>
      </c>
      <c r="V18" s="61" t="n">
        <v>46447</v>
      </c>
      <c r="W18" s="61" t="n">
        <v>46468</v>
      </c>
      <c r="X18" s="61" t="n">
        <v>46475</v>
      </c>
      <c r="Y18" s="61" t="n">
        <v>46636</v>
      </c>
      <c r="Z18" s="61" t="n">
        <v>46678</v>
      </c>
      <c r="AA18" s="62" t="n">
        <v>46692</v>
      </c>
      <c r="AB18" t="inlineStr">
        <is>
          <t>eSIM supplier (coverage and usage data), OS location permissions.</t>
        </is>
      </c>
      <c r="AC18" s="10">
        <f>HYPERLINK("https://app.asana.com/1/8556634603607/project/1215564565348002/task/1215728501648860","G11 in Asana")</f>
        <v/>
      </c>
    </row>
    <row r="19">
      <c r="A19" t="n">
        <v>18</v>
      </c>
      <c r="B19" t="inlineStr">
        <is>
          <t>B6</t>
        </is>
      </c>
      <c r="C19" t="inlineStr">
        <is>
          <t>Personalised experiences via Engager (ML-driven)</t>
        </is>
      </c>
      <c r="D19" t="inlineStr">
        <is>
          <t>Board Goal</t>
        </is>
      </c>
      <c r="E19" t="inlineStr">
        <is>
          <t>All Products</t>
        </is>
      </c>
      <c r="F19" t="inlineStr">
        <is>
          <t>Medium</t>
        </is>
      </c>
      <c r="G19" t="inlineStr">
        <is>
          <t>Q4</t>
        </is>
      </c>
      <c r="H19" t="inlineStr">
        <is>
          <t>M</t>
        </is>
      </c>
      <c r="I19" t="n">
        <v>2</v>
      </c>
      <c r="J19" t="inlineStr">
        <is>
          <t>M</t>
        </is>
      </c>
      <c r="K19" t="n">
        <v>2</v>
      </c>
      <c r="L19" t="inlineStr">
        <is>
          <t>M</t>
        </is>
      </c>
      <c r="M19" s="61" t="n">
        <v>46482</v>
      </c>
      <c r="N19" s="61" t="n">
        <v>46692</v>
      </c>
      <c r="O19" s="63" t="inlineStr">
        <is>
          <t>Lands in FY28 at 35% reserve</t>
        </is>
      </c>
      <c r="P19" s="61" t="n">
        <v>46482</v>
      </c>
      <c r="Q19" s="61" t="n">
        <v>46503</v>
      </c>
      <c r="R19" s="61" t="n">
        <v>46524</v>
      </c>
      <c r="S19" s="61" t="n">
        <v>46622</v>
      </c>
      <c r="T19" s="61" t="n">
        <v>46650</v>
      </c>
      <c r="U19" s="61" t="n">
        <v>46678</v>
      </c>
      <c r="V19" s="61" t="n">
        <v>46503</v>
      </c>
      <c r="W19" s="61" t="n">
        <v>46524</v>
      </c>
      <c r="X19" s="61" t="n">
        <v>46538</v>
      </c>
      <c r="Y19" s="61" t="n">
        <v>46650</v>
      </c>
      <c r="Z19" s="61" t="n">
        <v>46678</v>
      </c>
      <c r="AA19" s="62" t="n">
        <v>46692</v>
      </c>
      <c r="AB19" t="inlineStr">
        <is>
          <t>Engager and Data Science teams (ML models and next-best-offer), CRM (Braze), G3 Engager cards as the delivery surface.</t>
        </is>
      </c>
      <c r="AC19" s="10">
        <f>HYPERLINK("https://app.asana.com/1/8556634603607/project/1215564565348002/task/1218156429240270","B6 in Asana")</f>
        <v/>
      </c>
    </row>
    <row r="20">
      <c r="A20" t="n">
        <v>19</v>
      </c>
      <c r="B20" t="inlineStr">
        <is>
          <t>B9</t>
        </is>
      </c>
      <c r="C20" t="inlineStr">
        <is>
          <t>Promo balances support for the BR Wallet</t>
        </is>
      </c>
      <c r="D20" t="inlineStr">
        <is>
          <t>Board Goal</t>
        </is>
      </c>
      <c r="E20" t="inlineStr">
        <is>
          <t>All Products</t>
        </is>
      </c>
      <c r="F20" t="inlineStr">
        <is>
          <t>Medium</t>
        </is>
      </c>
      <c r="G20" t="inlineStr">
        <is>
          <t>Q4</t>
        </is>
      </c>
      <c r="H20" t="inlineStr">
        <is>
          <t>L</t>
        </is>
      </c>
      <c r="I20" t="n">
        <v>4</v>
      </c>
      <c r="J20" t="inlineStr">
        <is>
          <t>M</t>
        </is>
      </c>
      <c r="K20" t="n">
        <v>2</v>
      </c>
      <c r="L20" t="inlineStr">
        <is>
          <t>S</t>
        </is>
      </c>
      <c r="M20" s="61" t="n">
        <v>46482</v>
      </c>
      <c r="N20" s="61" t="n">
        <v>46720</v>
      </c>
      <c r="O20" s="63" t="inlineStr">
        <is>
          <t>Lands in FY28 at 35% reserve</t>
        </is>
      </c>
      <c r="P20" s="61" t="n">
        <v>46482</v>
      </c>
      <c r="Q20" s="61" t="n">
        <v>46496</v>
      </c>
      <c r="R20" s="61" t="n">
        <v>46510</v>
      </c>
      <c r="S20" s="61" t="n">
        <v>46650</v>
      </c>
      <c r="T20" s="61" t="n">
        <v>46678</v>
      </c>
      <c r="U20" s="61" t="n">
        <v>46706</v>
      </c>
      <c r="V20" s="61" t="n">
        <v>46496</v>
      </c>
      <c r="W20" s="61" t="n">
        <v>46510</v>
      </c>
      <c r="X20" s="61" t="n">
        <v>46524</v>
      </c>
      <c r="Y20" s="61" t="n">
        <v>46678</v>
      </c>
      <c r="Z20" s="61" t="n">
        <v>46706</v>
      </c>
      <c r="AA20" s="62" t="n">
        <v>46720</v>
      </c>
      <c r="AB20" t="inlineStr">
        <is>
          <t>BR Wallet team (balance types and ledger), BLS promo engine, Boss Money app team, Finance for promo liability.</t>
        </is>
      </c>
      <c r="AC20" s="10">
        <f>HYPERLINK("https://app.asana.com/1/8556634603607/project/1215564565348002/task/1218156429240261","B9 in Asana")</f>
        <v/>
      </c>
    </row>
    <row r="21">
      <c r="A21" t="n">
        <v>20</v>
      </c>
      <c r="B21" t="inlineStr">
        <is>
          <t>B3</t>
        </is>
      </c>
      <c r="C21" t="inlineStr">
        <is>
          <t>Support the IVA migration for MTU</t>
        </is>
      </c>
      <c r="D21" t="inlineStr">
        <is>
          <t>Board Goal</t>
        </is>
      </c>
      <c r="E21" t="inlineStr">
        <is>
          <t>MTU</t>
        </is>
      </c>
      <c r="F21" t="inlineStr">
        <is>
          <t>Medium</t>
        </is>
      </c>
      <c r="G21" t="inlineStr">
        <is>
          <t>Q4</t>
        </is>
      </c>
      <c r="H21" t="inlineStr">
        <is>
          <t>M</t>
        </is>
      </c>
      <c r="I21" t="n">
        <v>2</v>
      </c>
      <c r="J21" t="inlineStr">
        <is>
          <t>-</t>
        </is>
      </c>
      <c r="K21" t="n">
        <v>0</v>
      </c>
      <c r="L21" t="inlineStr">
        <is>
          <t>-</t>
        </is>
      </c>
      <c r="M21" s="61" t="n">
        <v>46496</v>
      </c>
      <c r="N21" s="61" t="n">
        <v>46720</v>
      </c>
      <c r="O21" s="63" t="inlineStr">
        <is>
          <t>Lands in FY28 at 35% reserve</t>
        </is>
      </c>
      <c r="P21" s="61" t="n">
        <v>46496</v>
      </c>
      <c r="Q21" s="61" t="inlineStr"/>
      <c r="R21" s="61" t="n">
        <v>46524</v>
      </c>
      <c r="S21" s="61" t="n">
        <v>46678</v>
      </c>
      <c r="T21" s="61" t="inlineStr"/>
      <c r="U21" s="61" t="n">
        <v>46706</v>
      </c>
      <c r="V21" s="61" t="n">
        <v>46510</v>
      </c>
      <c r="W21" s="61" t="inlineStr"/>
      <c r="X21" s="61" t="n">
        <v>46538</v>
      </c>
      <c r="Y21" s="61" t="n">
        <v>46706</v>
      </c>
      <c r="Z21" s="61" t="inlineStr"/>
      <c r="AA21" s="62" t="n">
        <v>46720</v>
      </c>
      <c r="AB21" t="inlineStr">
        <is>
          <t>IVA (Intelligent Virtual Agent) programme team, CSA and IVR teams, DTC Universal API (CSA connector shipped FY26).</t>
        </is>
      </c>
      <c r="AC21" s="10">
        <f>HYPERLINK("https://app.asana.com/1/8556634603607/project/1215564565348002/task/1218156225083574","B3 in Asana")</f>
        <v/>
      </c>
    </row>
    <row r="22">
      <c r="A22" t="n">
        <v>21</v>
      </c>
      <c r="B22" t="inlineStr">
        <is>
          <t>G8</t>
        </is>
      </c>
      <c r="C22" t="inlineStr">
        <is>
          <t>MTU gamification</t>
        </is>
      </c>
      <c r="D22" t="inlineStr">
        <is>
          <t>Business Goal</t>
        </is>
      </c>
      <c r="E22" t="inlineStr">
        <is>
          <t>All Products</t>
        </is>
      </c>
      <c r="F22" t="inlineStr">
        <is>
          <t>Medium</t>
        </is>
      </c>
      <c r="G22" t="inlineStr">
        <is>
          <t>Q4</t>
        </is>
      </c>
      <c r="H22" t="inlineStr">
        <is>
          <t>M</t>
        </is>
      </c>
      <c r="I22" t="n">
        <v>2</v>
      </c>
      <c r="J22" t="inlineStr">
        <is>
          <t>L</t>
        </is>
      </c>
      <c r="K22" t="n">
        <v>4</v>
      </c>
      <c r="L22" t="inlineStr">
        <is>
          <t>L</t>
        </is>
      </c>
      <c r="M22" s="61" t="n">
        <v>46503</v>
      </c>
      <c r="N22" s="61" t="n">
        <v>46748</v>
      </c>
      <c r="O22" s="63" t="inlineStr">
        <is>
          <t>Lands in FY28 at 35% reserve</t>
        </is>
      </c>
      <c r="P22" s="61" t="n">
        <v>46503</v>
      </c>
      <c r="Q22" s="61" t="n">
        <v>46524</v>
      </c>
      <c r="R22" s="61" t="n">
        <v>46552</v>
      </c>
      <c r="S22" s="61" t="n">
        <v>46678</v>
      </c>
      <c r="T22" s="61" t="n">
        <v>46706</v>
      </c>
      <c r="U22" s="61" t="n">
        <v>46734</v>
      </c>
      <c r="V22" s="61" t="n">
        <v>46524</v>
      </c>
      <c r="W22" s="61" t="n">
        <v>46552</v>
      </c>
      <c r="X22" s="61" t="n">
        <v>46566</v>
      </c>
      <c r="Y22" s="61" t="n">
        <v>46706</v>
      </c>
      <c r="Z22" s="61" t="n">
        <v>46734</v>
      </c>
      <c r="AA22" s="62" t="n">
        <v>46748</v>
      </c>
      <c r="AB22" t="inlineStr">
        <is>
          <t>BLS promo engine, Braze in-app messages (FY26 punch cards), Wallet promo balance (B9) for rewards, Loyalty team.</t>
        </is>
      </c>
      <c r="AC22" s="10">
        <f>HYPERLINK("https://app.asana.com/1/8556634603607/project/1215564565348002/task/1215836632250433","G8 in Asana")</f>
        <v/>
      </c>
    </row>
    <row r="23">
      <c r="A23" t="n">
        <v>22</v>
      </c>
      <c r="B23" t="inlineStr">
        <is>
          <t>G5</t>
        </is>
      </c>
      <c r="C23" t="inlineStr">
        <is>
          <t>Introduce crypto payment checkout</t>
        </is>
      </c>
      <c r="D23" t="inlineStr">
        <is>
          <t>Business Goal</t>
        </is>
      </c>
      <c r="E23" t="inlineStr">
        <is>
          <t>MTU</t>
        </is>
      </c>
      <c r="F23" t="inlineStr">
        <is>
          <t>Low</t>
        </is>
      </c>
      <c r="G23" t="inlineStr">
        <is>
          <t>Q4</t>
        </is>
      </c>
      <c r="H23" t="inlineStr">
        <is>
          <t>M</t>
        </is>
      </c>
      <c r="I23" t="n">
        <v>2</v>
      </c>
      <c r="J23" t="inlineStr">
        <is>
          <t>S</t>
        </is>
      </c>
      <c r="K23" t="n">
        <v>1</v>
      </c>
      <c r="L23" t="inlineStr">
        <is>
          <t>S</t>
        </is>
      </c>
      <c r="M23" s="61" t="n">
        <v>46510</v>
      </c>
      <c r="N23" s="61" t="n">
        <v>46762</v>
      </c>
      <c r="O23" s="63" t="inlineStr">
        <is>
          <t>Lands in FY28 at 35% reserve</t>
        </is>
      </c>
      <c r="P23" s="61" t="n">
        <v>46510</v>
      </c>
      <c r="Q23" s="61" t="n">
        <v>46524</v>
      </c>
      <c r="R23" s="61" t="n">
        <v>46538</v>
      </c>
      <c r="S23" s="61" t="n">
        <v>46706</v>
      </c>
      <c r="T23" s="61" t="n">
        <v>46734</v>
      </c>
      <c r="U23" s="61" t="n">
        <v>46748</v>
      </c>
      <c r="V23" s="61" t="n">
        <v>46524</v>
      </c>
      <c r="W23" s="61" t="n">
        <v>46538</v>
      </c>
      <c r="X23" s="61" t="n">
        <v>46545</v>
      </c>
      <c r="Y23" s="61" t="n">
        <v>46734</v>
      </c>
      <c r="Z23" s="61" t="n">
        <v>46748</v>
      </c>
      <c r="AA23" s="62" t="n">
        <v>46762</v>
      </c>
      <c r="AB23" t="inlineStr">
        <is>
          <t>Triple-A (crypto payment processor), IDT Pay adapter, Legal and Compliance, Finance for fiat settlement.</t>
        </is>
      </c>
      <c r="AC23" s="10">
        <f>HYPERLINK("https://app.asana.com/1/8556634603607/project/1215564565348002/task/1215922468293585","G5 in Asana")</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8" customWidth="1" min="1" max="1"/>
    <col width="10" customWidth="1" min="2" max="2"/>
    <col width="30" customWidth="1" min="3" max="3"/>
    <col width="70" customWidth="1" min="4" max="4"/>
  </cols>
  <sheetData>
    <row r="1">
      <c r="A1" s="64" t="inlineStr">
        <is>
          <t>Role</t>
        </is>
      </c>
      <c r="B1" s="64" t="inlineStr">
        <is>
          <t>People</t>
        </is>
      </c>
      <c r="C1" s="64" t="inlineStr">
        <is>
          <t>Parallel lanes used by the plan</t>
        </is>
      </c>
      <c r="D1" s="64" t="inlineStr">
        <is>
          <t>Note</t>
        </is>
      </c>
    </row>
    <row r="2">
      <c r="A2" t="inlineStr">
        <is>
          <t>PM</t>
        </is>
      </c>
      <c r="B2" t="n">
        <v>1</v>
      </c>
      <c r="C2" t="n">
        <v>2</v>
      </c>
      <c r="D2" t="inlineStr">
        <is>
          <t>one PM runs two discovery tracks at a time</t>
        </is>
      </c>
    </row>
    <row r="3">
      <c r="A3" t="inlineStr">
        <is>
          <t>Design</t>
        </is>
      </c>
      <c r="B3" t="n">
        <v>1</v>
      </c>
      <c r="C3" t="n">
        <v>2</v>
      </c>
      <c r="D3" t="inlineStr">
        <is>
          <t>one designer runs two initiatives at a time, as in FY26</t>
        </is>
      </c>
    </row>
    <row r="4">
      <c r="A4" t="inlineStr">
        <is>
          <t>TPM</t>
        </is>
      </c>
      <c r="B4" t="n">
        <v>1</v>
      </c>
      <c r="C4" t="n">
        <v>2</v>
      </c>
      <c r="D4" t="inlineStr">
        <is>
          <t>spikes and ticket breakdown for two initiatives at a time</t>
        </is>
      </c>
    </row>
    <row r="5">
      <c r="A5" t="inlineStr">
        <is>
          <t>BE</t>
        </is>
      </c>
      <c r="B5" t="n">
        <v>3</v>
      </c>
      <c r="C5" t="n">
        <v>2</v>
      </c>
      <c r="D5" t="inlineStr">
        <is>
          <t>35% reserved for tech debt and company tech goals, leaving 2 lanes for initiatives</t>
        </is>
      </c>
    </row>
    <row r="6">
      <c r="A6" t="inlineStr">
        <is>
          <t>App</t>
        </is>
      </c>
      <c r="B6" t="n">
        <v>3</v>
      </c>
      <c r="C6" t="n">
        <v>2</v>
      </c>
      <c r="D6" t="inlineStr">
        <is>
          <t>35% reserved for tech debt and company tech goals, leaving 2 lanes for initiatives</t>
        </is>
      </c>
    </row>
    <row r="7">
      <c r="A7" t="inlineStr">
        <is>
          <t>QA</t>
        </is>
      </c>
      <c r="B7" t="n">
        <v>2</v>
      </c>
      <c r="C7" t="n">
        <v>2</v>
      </c>
      <c r="D7" t="inlineStr"/>
    </row>
    <row r="9">
      <c r="A9" s="8" t="inlineStr">
        <is>
          <t>Assumption</t>
        </is>
      </c>
      <c r="B9" t="inlineStr">
        <is>
          <t>Value</t>
        </is>
      </c>
    </row>
    <row r="10">
      <c r="A10" t="inlineStr">
        <is>
          <t>Fiscal year</t>
        </is>
      </c>
      <c r="B10" t="inlineStr">
        <is>
          <t>31 Aug 2026 to 29 Aug 2027</t>
        </is>
      </c>
    </row>
    <row r="11">
      <c r="A11" t="inlineStr">
        <is>
          <t>Sprint length</t>
        </is>
      </c>
      <c r="B11" t="inlineStr">
        <is>
          <t>2 weeks; S76 runs when the FY opens, S101 is the last full FY27 sprint</t>
        </is>
      </c>
    </row>
    <row r="12">
      <c r="A12" t="inlineStr">
        <is>
          <t>Tech reserve</t>
        </is>
      </c>
      <c r="B12" t="inlineStr">
        <is>
          <t>35% of BE and App capacity, as in FY26</t>
        </is>
      </c>
    </row>
    <row r="13">
      <c r="A13" t="inlineStr">
        <is>
          <t>Sizing scale</t>
        </is>
      </c>
      <c r="B13" t="inlineStr">
        <is>
          <t>S 1, M 2, L 4, XL 9 FTE sprints (FY26 scale)</t>
        </is>
      </c>
    </row>
    <row r="14">
      <c r="A14" t="inlineStr">
        <is>
          <t>Phase order</t>
        </is>
      </c>
      <c r="B14" t="inlineStr">
        <is>
          <t>PM, Design, TPM, BE, App, QA in strict sequence per initiative</t>
        </is>
      </c>
    </row>
    <row r="15">
      <c r="A15" t="inlineStr">
        <is>
          <t>Hand-off rule</t>
        </is>
      </c>
      <c r="B15" t="inlineStr">
        <is>
          <t>a role that finishes an initiative starts the next one the following week</t>
        </is>
      </c>
    </row>
    <row r="16">
      <c r="A16" t="inlineStr">
        <is>
          <t>PM lead</t>
        </is>
      </c>
      <c r="B16" t="inlineStr">
        <is>
          <t>PM may start up to 8 weeks before the initiative's target quarter</t>
        </is>
      </c>
    </row>
    <row r="17">
      <c r="A17" t="inlineStr">
        <is>
          <t>Estimates</t>
        </is>
      </c>
      <c r="B17" t="inlineStr">
        <is>
          <t>PM first pass, to be validated by engineering in the Comments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2026-09-16T21:16:27Z</dcterms:created>
  <dcterms:modified xsi:type="dcterms:W3CDTF">2026-09-16T21:16:28Z</dcterms:modified>
</cp:coreProperties>
</file>